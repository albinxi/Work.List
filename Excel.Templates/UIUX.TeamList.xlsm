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5240961\Desktop\"/>
    </mc:Choice>
  </mc:AlternateContent>
  <bookViews>
    <workbookView xWindow="0" yWindow="0" windowWidth="21570" windowHeight="7905" activeTab="1"/>
  </bookViews>
  <sheets>
    <sheet name="Project.List" sheetId="1" r:id="rId1"/>
    <sheet name="Team.Status" sheetId="4" r:id="rId2"/>
    <sheet name="Team.List" sheetId="2" r:id="rId3"/>
    <sheet name="Setting" sheetId="3" r:id="rId4"/>
  </sheets>
  <definedNames>
    <definedName name="Level">Settings.Level[LEVEL]</definedName>
    <definedName name="Location">Settings.Locations[LOCATION]</definedName>
    <definedName name="ProjectStatus">Settings.Project[PROJECT STATUS]</definedName>
    <definedName name="ProjectType">Settings.ProjectType[PROJECT TYPE]</definedName>
    <definedName name="Status">Settings.Status[STATUS]</definedName>
    <definedName name="StatusType">Settings.StatusType[STATUS TYPE]</definedName>
    <definedName name="TeamLeader">Settings.TeamLeader[TEAM LEADER]</definedName>
    <definedName name="Tracking.ProjectName">Team.Status!$B$4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4" l="1"/>
  <c r="D26" i="4"/>
  <c r="F26" i="4"/>
  <c r="G26" i="4"/>
  <c r="G44" i="4"/>
  <c r="C44" i="4"/>
  <c r="D44" i="4"/>
  <c r="F44" i="4"/>
  <c r="C63" i="2"/>
  <c r="D63" i="2"/>
  <c r="C49" i="4"/>
  <c r="D49" i="4"/>
  <c r="F49" i="4"/>
  <c r="G49" i="4"/>
  <c r="D48" i="4"/>
  <c r="C48" i="4"/>
  <c r="F48" i="4"/>
  <c r="G48" i="4"/>
  <c r="C41" i="2"/>
  <c r="D41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B6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B4" i="1"/>
  <c r="F4" i="4"/>
  <c r="E4" i="4"/>
  <c r="D20" i="4"/>
  <c r="D7" i="4"/>
  <c r="D46" i="4"/>
  <c r="D25" i="4"/>
  <c r="D29" i="4"/>
  <c r="D38" i="4"/>
  <c r="D37" i="4"/>
  <c r="D31" i="4"/>
  <c r="D27" i="4"/>
  <c r="D45" i="4"/>
  <c r="D4" i="4"/>
  <c r="C20" i="4"/>
  <c r="C7" i="4"/>
  <c r="C46" i="4"/>
  <c r="C25" i="4"/>
  <c r="C29" i="4"/>
  <c r="C38" i="4"/>
  <c r="C37" i="4"/>
  <c r="C31" i="4"/>
  <c r="C27" i="4"/>
  <c r="C45" i="4"/>
  <c r="C4" i="4"/>
  <c r="E4" i="2"/>
  <c r="F4" i="2"/>
  <c r="D8" i="4"/>
  <c r="C8" i="4"/>
  <c r="D9" i="4"/>
  <c r="C9" i="4"/>
  <c r="D10" i="4"/>
  <c r="C10" i="4"/>
  <c r="D11" i="4"/>
  <c r="C11" i="4"/>
  <c r="D12" i="4"/>
  <c r="C12" i="4"/>
  <c r="D13" i="4"/>
  <c r="C13" i="4"/>
  <c r="D14" i="4"/>
  <c r="C14" i="4"/>
  <c r="D15" i="4"/>
  <c r="C15" i="4"/>
  <c r="D16" i="4"/>
  <c r="C16" i="4"/>
  <c r="D17" i="4"/>
  <c r="C17" i="4"/>
  <c r="D18" i="4"/>
  <c r="C18" i="4"/>
  <c r="D21" i="4"/>
  <c r="C21" i="4"/>
  <c r="D19" i="4"/>
  <c r="C19" i="4"/>
  <c r="D22" i="4"/>
  <c r="C22" i="4"/>
  <c r="D23" i="4"/>
  <c r="C23" i="4"/>
  <c r="D32" i="4"/>
  <c r="C32" i="4"/>
  <c r="D28" i="4"/>
  <c r="C28" i="4"/>
  <c r="D33" i="4"/>
  <c r="C33" i="4"/>
  <c r="D34" i="4"/>
  <c r="C34" i="4"/>
  <c r="D35" i="4"/>
  <c r="C35" i="4"/>
  <c r="D36" i="4"/>
  <c r="C36" i="4"/>
  <c r="D39" i="4"/>
  <c r="C39" i="4"/>
  <c r="D40" i="4"/>
  <c r="C40" i="4"/>
  <c r="D41" i="4"/>
  <c r="C41" i="4"/>
  <c r="D42" i="4"/>
  <c r="C42" i="4"/>
  <c r="D43" i="4"/>
  <c r="C43" i="4"/>
  <c r="D24" i="4"/>
  <c r="C24" i="4"/>
  <c r="D30" i="4"/>
  <c r="C30" i="4"/>
  <c r="D47" i="4"/>
  <c r="F4" i="1"/>
  <c r="G4" i="1"/>
  <c r="H4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4" i="1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5" i="4"/>
  <c r="G46" i="4"/>
  <c r="G47" i="4"/>
  <c r="L4" i="2"/>
  <c r="K4" i="2"/>
  <c r="J4" i="2"/>
  <c r="H6" i="2"/>
  <c r="F6" i="2"/>
  <c r="G6" i="2"/>
  <c r="E6" i="2"/>
  <c r="D6" i="2"/>
  <c r="C6" i="2"/>
  <c r="D4" i="2"/>
  <c r="C4" i="2"/>
  <c r="B4" i="2"/>
  <c r="E4" i="1"/>
  <c r="D4" i="1"/>
  <c r="C4" i="1"/>
  <c r="C47" i="4"/>
  <c r="F47" i="4"/>
  <c r="F46" i="4"/>
  <c r="F45" i="4"/>
  <c r="F43" i="4"/>
  <c r="F42" i="4"/>
  <c r="F39" i="4"/>
  <c r="F40" i="4"/>
  <c r="F41" i="4"/>
  <c r="F38" i="4"/>
  <c r="F37" i="4"/>
  <c r="F35" i="4"/>
  <c r="F36" i="4"/>
  <c r="F34" i="4"/>
  <c r="F33" i="4"/>
  <c r="F32" i="4"/>
  <c r="F31" i="4"/>
  <c r="F30" i="4"/>
  <c r="F29" i="4"/>
  <c r="F27" i="4"/>
  <c r="F28" i="4"/>
  <c r="F25" i="4"/>
  <c r="F24" i="4"/>
  <c r="F21" i="4"/>
  <c r="F22" i="4"/>
  <c r="F23" i="4"/>
  <c r="F20" i="4"/>
  <c r="F7" i="4"/>
  <c r="F10" i="4"/>
  <c r="F11" i="4"/>
  <c r="F12" i="4"/>
  <c r="F13" i="4"/>
  <c r="F14" i="4"/>
  <c r="F15" i="4"/>
  <c r="F16" i="4"/>
  <c r="F17" i="4"/>
  <c r="F18" i="4"/>
  <c r="F19" i="4"/>
  <c r="F8" i="4"/>
  <c r="F9" i="4"/>
</calcChain>
</file>

<file path=xl/sharedStrings.xml><?xml version="1.0" encoding="utf-8"?>
<sst xmlns="http://schemas.openxmlformats.org/spreadsheetml/2006/main" count="532" uniqueCount="235">
  <si>
    <t>Ma, Lin</t>
  </si>
  <si>
    <t>Qu, Ying</t>
  </si>
  <si>
    <t>Xi, Jie</t>
  </si>
  <si>
    <t>EID</t>
  </si>
  <si>
    <t>TL</t>
  </si>
  <si>
    <t>ASE</t>
  </si>
  <si>
    <t>SE</t>
  </si>
  <si>
    <t>SSE</t>
  </si>
  <si>
    <t>AM</t>
  </si>
  <si>
    <t>Feng, Yao</t>
  </si>
  <si>
    <t>Shi, Hui</t>
  </si>
  <si>
    <t>Ni, Fang</t>
  </si>
  <si>
    <t>Jiang, Ping</t>
  </si>
  <si>
    <t>Zhang, Miao</t>
  </si>
  <si>
    <t>Fan, Yang</t>
  </si>
  <si>
    <t>Huang, Yun</t>
  </si>
  <si>
    <t>Chen, Li Hui</t>
  </si>
  <si>
    <t>Wang, Ke Na</t>
  </si>
  <si>
    <t>Zhang, Huai Fei</t>
  </si>
  <si>
    <t>Wang, Wei Hong</t>
  </si>
  <si>
    <t>Mao, Yun Hui</t>
  </si>
  <si>
    <t>Wu, Hong Jian</t>
  </si>
  <si>
    <t>Xiao, Jin Tao</t>
  </si>
  <si>
    <t>Dong, Jia Wei</t>
  </si>
  <si>
    <t>Hao, Jun Yu</t>
  </si>
  <si>
    <t>Lu, Jing</t>
  </si>
  <si>
    <t>Ying, Ming Ming</t>
  </si>
  <si>
    <t>Ping, Yun Jie</t>
  </si>
  <si>
    <t>Zhu, Xiao Lin</t>
  </si>
  <si>
    <t>Sun, Yan Ting</t>
  </si>
  <si>
    <t>Kan, Jiang Tao</t>
  </si>
  <si>
    <t>Tang, Wen Jing</t>
  </si>
  <si>
    <t>Sun, Min Min</t>
  </si>
  <si>
    <t>Qian, Xue Jiao</t>
  </si>
  <si>
    <t>Wang, Xiao Nan</t>
  </si>
  <si>
    <t>Huang, Hong Xia</t>
  </si>
  <si>
    <t>Deng, Xue Liang</t>
  </si>
  <si>
    <t>Shanghai</t>
  </si>
  <si>
    <t>DaLian</t>
  </si>
  <si>
    <t>GuangZhou</t>
  </si>
  <si>
    <t>minmin.sun@accenture.com</t>
  </si>
  <si>
    <t>l.a.ma@accenture.com</t>
  </si>
  <si>
    <t>ying.qu@accenture.com</t>
  </si>
  <si>
    <t>wenjing.tang@accenture.com</t>
  </si>
  <si>
    <t>x.qian@accenture.com</t>
  </si>
  <si>
    <t>yao.feng@accenture.com</t>
  </si>
  <si>
    <t>xueliang.deng@accenture.com</t>
  </si>
  <si>
    <t>xiaonan.d.wang@accenture.com</t>
  </si>
  <si>
    <t>hongxia.huang@accenture.com</t>
  </si>
  <si>
    <t>hui.shi@accenture.com</t>
  </si>
  <si>
    <t>chenqing.gu@accenture.com</t>
  </si>
  <si>
    <t>fang.ni@accenture.com</t>
  </si>
  <si>
    <t>mingming.ying@accenture.com</t>
  </si>
  <si>
    <t>yunjie.ping@accenture.com</t>
  </si>
  <si>
    <t>ping.jiang@accenture.com</t>
  </si>
  <si>
    <t>xiaolin.zhu@accenture.com</t>
  </si>
  <si>
    <t>yanting.sun@accenture.com</t>
  </si>
  <si>
    <t>jiangtao.kan@accenture.com</t>
  </si>
  <si>
    <t>miao.c.zhang@accenture.com</t>
  </si>
  <si>
    <t>jintao.xiao@accenture.com</t>
  </si>
  <si>
    <t>hongjian.wu@accenture.com</t>
  </si>
  <si>
    <t>jie.xi@accenture.com</t>
  </si>
  <si>
    <t>yang.fan@accenture.com</t>
  </si>
  <si>
    <t>yunhui.mao@accenture.com</t>
  </si>
  <si>
    <t>weihong.wang@accenture.com</t>
  </si>
  <si>
    <t>huaifei.zhang@accenture.com</t>
  </si>
  <si>
    <t>yun.huang@accenture.com</t>
  </si>
  <si>
    <t>kena.wang@accenture.com</t>
  </si>
  <si>
    <t>lihui.chen@accenture.com</t>
  </si>
  <si>
    <t>jiawei.dong@accenture.com</t>
  </si>
  <si>
    <t>junyu.hao@accenture.com</t>
  </si>
  <si>
    <t>jing.a.lu@accenture.com</t>
  </si>
  <si>
    <t>Vacation</t>
  </si>
  <si>
    <t>Others</t>
  </si>
  <si>
    <t>Available</t>
  </si>
  <si>
    <t>Engaged</t>
  </si>
  <si>
    <t>Internal</t>
  </si>
  <si>
    <t>External</t>
  </si>
  <si>
    <t>Planned</t>
  </si>
  <si>
    <t>SAP Fiori</t>
  </si>
  <si>
    <t>BMW CN.Digital</t>
  </si>
  <si>
    <t>L'orealParis</t>
  </si>
  <si>
    <t>Bristol-Myers Squibb</t>
  </si>
  <si>
    <t>SAP</t>
  </si>
  <si>
    <t>BMW</t>
  </si>
  <si>
    <t>L'oreal</t>
  </si>
  <si>
    <t>BMS Responsive Design</t>
  </si>
  <si>
    <t>CIO</t>
  </si>
  <si>
    <t>Accenture</t>
  </si>
  <si>
    <t>AEM Asset</t>
  </si>
  <si>
    <t>Accenture Digital</t>
  </si>
  <si>
    <t>Accenture CIO</t>
  </si>
  <si>
    <t>Nippon iColor</t>
  </si>
  <si>
    <t>Huawei Project</t>
  </si>
  <si>
    <t>Huawei</t>
  </si>
  <si>
    <t>dLife</t>
  </si>
  <si>
    <t>Accenture AM</t>
  </si>
  <si>
    <t>Baxter Medicine</t>
  </si>
  <si>
    <t>Baxter</t>
  </si>
  <si>
    <t>Bunge</t>
  </si>
  <si>
    <t>Towngar</t>
  </si>
  <si>
    <t>iBank Execution Phase IT_SI</t>
  </si>
  <si>
    <t>iBank</t>
  </si>
  <si>
    <t>CIO 003 - MMC</t>
  </si>
  <si>
    <t>MMC Team 4 &amp; 5</t>
  </si>
  <si>
    <t>Alibaba International</t>
  </si>
  <si>
    <t>Alibaba</t>
  </si>
  <si>
    <t>CIO 001</t>
  </si>
  <si>
    <t>Japanese Android</t>
  </si>
  <si>
    <t>Japanese Company</t>
  </si>
  <si>
    <t>Started</t>
  </si>
  <si>
    <t>Ended</t>
  </si>
  <si>
    <t>Gu, Chen Qing</t>
  </si>
  <si>
    <r>
      <rPr>
        <sz val="9"/>
        <color theme="1"/>
        <rFont val="宋体"/>
        <family val="2"/>
      </rPr>
      <t>香港中华燃气</t>
    </r>
  </si>
  <si>
    <t>SAP Fiori</t>
    <phoneticPr fontId="5" type="noConversion"/>
  </si>
  <si>
    <t>SAP Fiori</t>
    <phoneticPr fontId="5" type="noConversion"/>
  </si>
  <si>
    <t>Wu, Bao Feng</t>
  </si>
  <si>
    <t>Liu, Xin Yi</t>
  </si>
  <si>
    <t>Zhang, Wei</t>
  </si>
  <si>
    <t>Li, Lin Chun</t>
  </si>
  <si>
    <t>Yu, Peng</t>
  </si>
  <si>
    <t>Zhang, Xiang Nan</t>
  </si>
  <si>
    <t>Li, Zhi Chao</t>
  </si>
  <si>
    <t>Jiao, Wen Zhi</t>
  </si>
  <si>
    <t>Jia, Yu Zhuo</t>
  </si>
  <si>
    <t>Zhang, Yao</t>
  </si>
  <si>
    <t>Wang, Wei Qi</t>
  </si>
  <si>
    <t>Yang, Dong Hui</t>
  </si>
  <si>
    <t>Zhang, Xuan Wei</t>
  </si>
  <si>
    <t>Lv, Da Ge</t>
  </si>
  <si>
    <t>Liu, Dan Yu</t>
  </si>
  <si>
    <t>baofeng.wu@accenture.com</t>
  </si>
  <si>
    <t>xinyi.liu@accenture.com</t>
  </si>
  <si>
    <t>wei.g.zhang@accenture.com</t>
  </si>
  <si>
    <t>linchun.li@accenture.com</t>
  </si>
  <si>
    <t>p.yu@accenture.com</t>
  </si>
  <si>
    <t>xiangnan.zhang@accenture.com</t>
  </si>
  <si>
    <t>zhichao.li@accenture.com</t>
  </si>
  <si>
    <t>wenzhi.jiao@accenture.com</t>
  </si>
  <si>
    <t>yuzhuo.jia@accenture.com</t>
  </si>
  <si>
    <t>yao.b.zhang@accenture.com</t>
  </si>
  <si>
    <t>danyu.liu@accenture.com</t>
  </si>
  <si>
    <t>weiqi.a.wang@accenture.com</t>
  </si>
  <si>
    <t>donghui.yang@accenture.com</t>
  </si>
  <si>
    <t>xuanwei.zhang@accenture.com</t>
  </si>
  <si>
    <t>dage.lv@accenture.com</t>
  </si>
  <si>
    <t>Zeng, Mu Bin</t>
  </si>
  <si>
    <t>He, Zheng Li</t>
  </si>
  <si>
    <t>Liu, Jie</t>
  </si>
  <si>
    <t>Gai, Jia Chuan</t>
  </si>
  <si>
    <t>Ou, Li Jie</t>
  </si>
  <si>
    <t>Chen, Zhao Qiang</t>
  </si>
  <si>
    <t>Guo, Yu Hui</t>
  </si>
  <si>
    <t>Zhao, Chun Sen</t>
  </si>
  <si>
    <t>mubin.zeng@accenture.com</t>
  </si>
  <si>
    <t>zhengli.he@accenture.com</t>
  </si>
  <si>
    <t>jie.c.liu@accenture.com</t>
  </si>
  <si>
    <t>lijie.ou@accenture.com</t>
  </si>
  <si>
    <t>yuhui.guo@accenture.com</t>
  </si>
  <si>
    <t>chunsen.zhao@accenture.com</t>
  </si>
  <si>
    <t>Ou, Li jie</t>
  </si>
  <si>
    <t>年会项目</t>
  </si>
  <si>
    <t>Booked</t>
  </si>
  <si>
    <t>Dimission</t>
  </si>
  <si>
    <t>Tang, Weng Jing</t>
  </si>
  <si>
    <t>PROJECT</t>
  </si>
  <si>
    <t>COMPANY</t>
  </si>
  <si>
    <t>TYPE</t>
  </si>
  <si>
    <t>STATUS</t>
  </si>
  <si>
    <t>START</t>
  </si>
  <si>
    <t>END</t>
  </si>
  <si>
    <t>MEMBERS</t>
  </si>
  <si>
    <t>PROJECT MANAGEMENT - ALL PROJECTS</t>
  </si>
  <si>
    <t>TOTAL PROJECTS</t>
  </si>
  <si>
    <t>EXTERNAL PROJECTS</t>
  </si>
  <si>
    <t>INTERNAL PROJECTS</t>
  </si>
  <si>
    <t>STARTED PROJECTS</t>
  </si>
  <si>
    <t>PLANNED PROJECTS</t>
  </si>
  <si>
    <t>ENDED PROJECTS</t>
  </si>
  <si>
    <t>ENGAGED TEAM MEMBERS</t>
  </si>
  <si>
    <t>PROJECT MANAGEMENT - TRACKING</t>
  </si>
  <si>
    <t>MEMBER</t>
  </si>
  <si>
    <t>LEVEL</t>
  </si>
  <si>
    <t>LOCATION</t>
  </si>
  <si>
    <t>REPORTER</t>
  </si>
  <si>
    <t>COMMENTS</t>
  </si>
  <si>
    <t>GENERAL INFORMATION</t>
  </si>
  <si>
    <t>PROJECT INFORMATION</t>
  </si>
  <si>
    <t>TEAM INFORMATION</t>
  </si>
  <si>
    <t>PROJECT MANAGEMENT - MEMBERS</t>
  </si>
  <si>
    <t>AVAILABLE MEMBERS</t>
  </si>
  <si>
    <t>ENGAGED MEMBERS</t>
  </si>
  <si>
    <t>NAME</t>
  </si>
  <si>
    <t>PROJECT TYPE</t>
  </si>
  <si>
    <t>MAIL</t>
  </si>
  <si>
    <t>CONTACT</t>
  </si>
  <si>
    <t>JAVASCRIPT</t>
  </si>
  <si>
    <t>JQUERY</t>
  </si>
  <si>
    <t>ANGULARJS</t>
  </si>
  <si>
    <t>TOTAL MEMBERS</t>
  </si>
  <si>
    <t>AVAILABLE : (&gt;=TL)</t>
  </si>
  <si>
    <t>AVAILABLE : (SSE)</t>
  </si>
  <si>
    <t>AVAILABLE : (SE)</t>
  </si>
  <si>
    <t>AVAILABLE : (ASE)</t>
  </si>
  <si>
    <t>AVAILABLE : SHANGHAI</t>
  </si>
  <si>
    <t>AVAILABLE : DALIAN</t>
  </si>
  <si>
    <t>AVAILABLE : GUANGZHOU</t>
  </si>
  <si>
    <t>JAVASCRIPT SKILL</t>
  </si>
  <si>
    <t>JQUERY SKILL</t>
  </si>
  <si>
    <t>ANGULARJS SKILL</t>
  </si>
  <si>
    <t>CHARGEABLE</t>
  </si>
  <si>
    <t>CHARGED PROJECTS</t>
  </si>
  <si>
    <t>CHARGED PLANNED</t>
  </si>
  <si>
    <t>UNCHARGED PLANNED</t>
  </si>
  <si>
    <t>PROJECT NAME</t>
  </si>
  <si>
    <t>PROJECT STATUS</t>
  </si>
  <si>
    <t>END DATE</t>
  </si>
  <si>
    <t>STATUS TYPE</t>
  </si>
  <si>
    <t>TEAM LEADER</t>
  </si>
  <si>
    <t>年会项目</t>
    <phoneticPr fontId="5" type="noConversion"/>
  </si>
  <si>
    <t>CIO - Asset</t>
    <phoneticPr fontId="5" type="noConversion"/>
  </si>
  <si>
    <t>AM - Digr</t>
    <phoneticPr fontId="5" type="noConversion"/>
  </si>
  <si>
    <t>Bunge SFA Phase 1</t>
    <phoneticPr fontId="5" type="noConversion"/>
  </si>
  <si>
    <t>CIO 001</t>
    <phoneticPr fontId="5" type="noConversion"/>
  </si>
  <si>
    <t>Japanese Android</t>
    <phoneticPr fontId="5" type="noConversion"/>
  </si>
  <si>
    <t>Alibaba International</t>
    <phoneticPr fontId="5" type="noConversion"/>
  </si>
  <si>
    <t>Nippon iColor</t>
    <phoneticPr fontId="5" type="noConversion"/>
  </si>
  <si>
    <t>SAP Fiori</t>
    <phoneticPr fontId="5" type="noConversion"/>
  </si>
  <si>
    <t>BMS Responsive Design</t>
    <phoneticPr fontId="5" type="noConversion"/>
  </si>
  <si>
    <t>SAP Fiori</t>
    <phoneticPr fontId="5" type="noConversion"/>
  </si>
  <si>
    <t>BMS Responsive Design</t>
    <phoneticPr fontId="5" type="noConversion"/>
  </si>
  <si>
    <t>Huawei Project</t>
    <phoneticPr fontId="5" type="noConversion"/>
  </si>
  <si>
    <t>Fu, Yong</t>
  </si>
  <si>
    <t>Peng, Sheng Nan</t>
  </si>
  <si>
    <t>NTT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</si>
</sst>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22">
    <font>
      <sz val="9"/>
      <color theme="1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</font>
    <font>
      <sz val="9"/>
      <color theme="1"/>
      <name val="Calibri"/>
      <family val="2"/>
    </font>
    <font>
      <sz val="9"/>
      <color theme="1"/>
      <name val="宋体"/>
      <family val="2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10"/>
      <name val="Arial"/>
      <family val="2"/>
    </font>
    <font>
      <b/>
      <sz val="9"/>
      <color theme="1"/>
      <name val="Calibri"/>
      <family val="2"/>
    </font>
    <font>
      <b/>
      <sz val="9"/>
      <color rgb="FF00B0F0"/>
      <name val="Calibri"/>
      <family val="2"/>
    </font>
    <font>
      <b/>
      <sz val="11"/>
      <color theme="0"/>
      <name val="Calibri"/>
      <family val="2"/>
      <scheme val="minor"/>
    </font>
    <font>
      <sz val="9"/>
      <color rgb="FFFF0000"/>
      <name val="Calibri"/>
      <family val="2"/>
    </font>
    <font>
      <b/>
      <sz val="24"/>
      <color rgb="FFE54A41"/>
      <name val="Calibri"/>
      <family val="2"/>
      <scheme val="minor"/>
    </font>
    <font>
      <b/>
      <sz val="9"/>
      <color theme="0" tint="-0.499984740745262"/>
      <name val="Calibri"/>
      <family val="2"/>
    </font>
    <font>
      <b/>
      <sz val="9"/>
      <color rgb="FFE54A41"/>
      <name val="Calibri"/>
      <family val="2"/>
    </font>
    <font>
      <sz val="9"/>
      <color theme="1"/>
      <name val="Calibri"/>
      <family val="2"/>
      <scheme val="minor"/>
    </font>
    <font>
      <sz val="24"/>
      <color rgb="FFE54A41"/>
      <name val="Calibri"/>
      <family val="2"/>
    </font>
    <font>
      <b/>
      <sz val="24"/>
      <color rgb="FFE54A41"/>
      <name val="Calibri"/>
      <family val="2"/>
    </font>
    <font>
      <b/>
      <sz val="11"/>
      <color theme="0"/>
      <name val="Calibri"/>
      <family val="2"/>
    </font>
    <font>
      <sz val="9"/>
      <color theme="1"/>
      <name val="Calibri"/>
    </font>
    <font>
      <sz val="9"/>
      <color theme="1" tint="0.34998626667073579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54A41"/>
        <bgColor indexed="64"/>
      </patternFill>
    </fill>
    <fill>
      <patternFill patternType="solid">
        <fgColor theme="0"/>
        <bgColor theme="0" tint="-0.14993743705557422"/>
      </patternFill>
    </fill>
    <fill>
      <patternFill patternType="gray125">
        <fgColor theme="5" tint="0.59996337778862885"/>
        <bgColor theme="0"/>
      </patternFill>
    </fill>
    <fill>
      <patternFill patternType="lightGray">
        <fgColor theme="5" tint="0.79998168889431442"/>
        <bgColor theme="0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E54A41"/>
      </bottom>
      <diagonal/>
    </border>
    <border>
      <left/>
      <right/>
      <top/>
      <bottom style="thin">
        <color theme="0" tint="-0.24994659260841701"/>
      </bottom>
      <diagonal/>
    </border>
  </borders>
  <cellStyleXfs count="19">
    <xf numFmtId="164" fontId="0" fillId="0" borderId="0"/>
    <xf numFmtId="164" fontId="1" fillId="0" borderId="0" applyNumberFormat="0" applyFont="0" applyFill="0" applyBorder="0" applyProtection="0">
      <alignment horizontal="left" vertical="center" indent="1"/>
    </xf>
    <xf numFmtId="164" fontId="13" fillId="0" borderId="1" applyNumberFormat="0" applyFill="0" applyAlignment="0" applyProtection="0"/>
    <xf numFmtId="164" fontId="7" fillId="0" borderId="0"/>
    <xf numFmtId="164" fontId="6" fillId="0" borderId="0"/>
    <xf numFmtId="164" fontId="8" fillId="0" borderId="0"/>
    <xf numFmtId="164" fontId="8" fillId="0" borderId="0">
      <alignment wrapText="1"/>
    </xf>
    <xf numFmtId="164" fontId="8" fillId="0" borderId="0">
      <alignment wrapText="1"/>
    </xf>
    <xf numFmtId="164" fontId="8" fillId="0" borderId="0"/>
    <xf numFmtId="9" fontId="8" fillId="0" borderId="0" applyFont="0" applyFill="0" applyBorder="0" applyAlignment="0" applyProtection="0"/>
    <xf numFmtId="164" fontId="8" fillId="0" borderId="0"/>
    <xf numFmtId="164" fontId="8" fillId="0" borderId="0">
      <alignment wrapText="1"/>
    </xf>
    <xf numFmtId="164" fontId="8" fillId="0" borderId="0">
      <alignment wrapText="1"/>
    </xf>
    <xf numFmtId="164" fontId="8" fillId="0" borderId="0"/>
    <xf numFmtId="164" fontId="6" fillId="0" borderId="0"/>
    <xf numFmtId="164" fontId="7" fillId="0" borderId="0"/>
    <xf numFmtId="164" fontId="11" fillId="3" borderId="0" applyNumberFormat="0">
      <alignment horizontal="left" vertical="center" indent="1"/>
    </xf>
    <xf numFmtId="164" fontId="14" fillId="4" borderId="2">
      <alignment horizontal="left"/>
    </xf>
    <xf numFmtId="9" fontId="16" fillId="0" borderId="0" applyFont="0" applyFill="0" applyBorder="0" applyAlignment="0" applyProtection="0"/>
  </cellStyleXfs>
  <cellXfs count="56">
    <xf numFmtId="164" fontId="0" fillId="0" borderId="0" xfId="0"/>
    <xf numFmtId="9" fontId="14" fillId="4" borderId="2" xfId="18" applyFont="1" applyFill="1" applyBorder="1" applyAlignment="1">
      <alignment horizontal="left"/>
    </xf>
    <xf numFmtId="0" fontId="3" fillId="2" borderId="0" xfId="1" applyNumberFormat="1" applyFont="1" applyFill="1" applyBorder="1">
      <alignment horizontal="left" vertical="center" indent="1"/>
    </xf>
    <xf numFmtId="0" fontId="3" fillId="2" borderId="0" xfId="1" applyNumberFormat="1" applyFont="1" applyFill="1">
      <alignment horizontal="left" vertical="center" indent="1"/>
    </xf>
    <xf numFmtId="0" fontId="3" fillId="0" borderId="0" xfId="1" applyNumberFormat="1" applyFont="1" applyFill="1">
      <alignment horizontal="left" vertical="center" indent="1"/>
    </xf>
    <xf numFmtId="0" fontId="14" fillId="4" borderId="2" xfId="17" applyNumberFormat="1" applyFont="1" applyAlignment="1">
      <alignment horizontal="left"/>
    </xf>
    <xf numFmtId="0" fontId="14" fillId="2" borderId="2" xfId="0" applyNumberFormat="1" applyFont="1" applyFill="1" applyBorder="1" applyAlignment="1">
      <alignment horizontal="left"/>
    </xf>
    <xf numFmtId="0" fontId="3" fillId="2" borderId="0" xfId="0" applyNumberFormat="1" applyFont="1" applyFill="1" applyAlignment="1">
      <alignment horizontal="left"/>
    </xf>
    <xf numFmtId="0" fontId="14" fillId="4" borderId="2" xfId="17" applyNumberFormat="1" applyFont="1" applyBorder="1" applyAlignment="1">
      <alignment horizontal="left"/>
    </xf>
    <xf numFmtId="0" fontId="14" fillId="6" borderId="2" xfId="17" applyNumberFormat="1" applyFont="1" applyFill="1" applyBorder="1" applyAlignment="1">
      <alignment horizontal="left"/>
    </xf>
    <xf numFmtId="0" fontId="14" fillId="5" borderId="2" xfId="17" applyNumberFormat="1" applyFont="1" applyFill="1" applyAlignment="1">
      <alignment horizontal="left"/>
    </xf>
    <xf numFmtId="0" fontId="3" fillId="0" borderId="0" xfId="1" applyNumberFormat="1" applyFont="1" applyFill="1" applyBorder="1">
      <alignment horizontal="left" vertical="center" indent="1"/>
    </xf>
    <xf numFmtId="0" fontId="3" fillId="0" borderId="0" xfId="1" applyNumberFormat="1" applyFont="1" applyFill="1" applyBorder="1" applyAlignment="1">
      <alignment horizontal="center" vertical="center"/>
    </xf>
    <xf numFmtId="0" fontId="4" fillId="0" borderId="0" xfId="1" applyNumberFormat="1" applyFont="1" applyFill="1" applyBorder="1">
      <alignment horizontal="left" vertical="center" indent="1"/>
    </xf>
    <xf numFmtId="0" fontId="17" fillId="2" borderId="1" xfId="2" applyNumberFormat="1" applyFont="1" applyFill="1"/>
    <xf numFmtId="0" fontId="10" fillId="2" borderId="1" xfId="2" applyNumberFormat="1" applyFont="1" applyFill="1"/>
    <xf numFmtId="0" fontId="18" fillId="2" borderId="1" xfId="2" applyNumberFormat="1" applyFont="1" applyFill="1"/>
    <xf numFmtId="0" fontId="3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9" fillId="3" borderId="0" xfId="16" applyNumberFormat="1" applyFont="1" applyBorder="1">
      <alignment horizontal="left" vertical="center" indent="1"/>
    </xf>
    <xf numFmtId="0" fontId="17" fillId="2" borderId="1" xfId="2" applyNumberFormat="1" applyFont="1" applyFill="1" applyAlignment="1">
      <alignment horizontal="left" vertical="center"/>
    </xf>
    <xf numFmtId="0" fontId="10" fillId="2" borderId="1" xfId="2" applyNumberFormat="1" applyFont="1" applyFill="1" applyAlignment="1">
      <alignment horizontal="left" vertical="center"/>
    </xf>
    <xf numFmtId="0" fontId="10" fillId="2" borderId="1" xfId="2" applyNumberFormat="1" applyFont="1" applyFill="1" applyAlignment="1">
      <alignment vertical="center"/>
    </xf>
    <xf numFmtId="0" fontId="3" fillId="2" borderId="0" xfId="0" applyNumberFormat="1" applyFont="1" applyFill="1" applyAlignment="1">
      <alignment vertical="center"/>
    </xf>
    <xf numFmtId="0" fontId="3" fillId="2" borderId="0" xfId="0" applyNumberFormat="1" applyFont="1" applyFill="1" applyAlignment="1">
      <alignment horizontal="left" vertical="center"/>
    </xf>
    <xf numFmtId="0" fontId="12" fillId="2" borderId="0" xfId="0" applyNumberFormat="1" applyFont="1" applyFill="1" applyAlignment="1">
      <alignment horizontal="left" vertical="center"/>
    </xf>
    <xf numFmtId="0" fontId="12" fillId="2" borderId="0" xfId="0" applyNumberFormat="1" applyFont="1" applyFill="1" applyAlignment="1">
      <alignment vertical="center"/>
    </xf>
    <xf numFmtId="0" fontId="19" fillId="3" borderId="0" xfId="16" applyNumberFormat="1" applyFont="1">
      <alignment horizontal="left" vertical="center" indent="1"/>
    </xf>
    <xf numFmtId="0" fontId="10" fillId="2" borderId="1" xfId="2" applyNumberFormat="1" applyFont="1" applyFill="1" applyAlignment="1">
      <alignment horizontal="left" indent="1"/>
    </xf>
    <xf numFmtId="0" fontId="3" fillId="2" borderId="0" xfId="0" applyNumberFormat="1" applyFont="1" applyFill="1" applyAlignment="1">
      <alignment horizontal="left" indent="1"/>
    </xf>
    <xf numFmtId="0" fontId="12" fillId="2" borderId="0" xfId="0" applyNumberFormat="1" applyFont="1" applyFill="1" applyAlignment="1">
      <alignment horizontal="left"/>
    </xf>
    <xf numFmtId="0" fontId="12" fillId="6" borderId="0" xfId="0" applyNumberFormat="1" applyFont="1" applyFill="1" applyAlignment="1">
      <alignment horizontal="left"/>
    </xf>
    <xf numFmtId="0" fontId="14" fillId="4" borderId="0" xfId="17" applyNumberFormat="1" applyFont="1" applyBorder="1" applyAlignment="1">
      <alignment horizontal="left"/>
    </xf>
    <xf numFmtId="0" fontId="12" fillId="5" borderId="0" xfId="0" applyNumberFormat="1" applyFont="1" applyFill="1" applyAlignment="1">
      <alignment horizontal="left"/>
    </xf>
    <xf numFmtId="0" fontId="19" fillId="3" borderId="0" xfId="16" applyNumberFormat="1" applyFont="1" applyAlignment="1">
      <alignment horizontal="center" vertical="center"/>
    </xf>
    <xf numFmtId="0" fontId="3" fillId="2" borderId="0" xfId="1" applyNumberFormat="1" applyFont="1" applyFill="1" applyBorder="1" applyProtection="1">
      <alignment horizontal="left" vertical="center" indent="1"/>
    </xf>
    <xf numFmtId="0" fontId="2" fillId="2" borderId="0" xfId="1" applyNumberFormat="1" applyFont="1" applyFill="1" applyAlignment="1">
      <alignment horizontal="center" vertical="center"/>
    </xf>
    <xf numFmtId="0" fontId="12" fillId="2" borderId="0" xfId="1" applyNumberFormat="1" applyFont="1" applyFill="1" applyAlignment="1">
      <alignment horizontal="center" vertical="center"/>
    </xf>
    <xf numFmtId="0" fontId="3" fillId="0" borderId="0" xfId="1" applyNumberFormat="1" applyFont="1" applyFill="1" applyProtection="1">
      <alignment horizontal="left" vertical="center" indent="1"/>
    </xf>
    <xf numFmtId="0" fontId="3" fillId="0" borderId="0" xfId="1" applyNumberFormat="1" applyFont="1" applyFill="1" applyAlignment="1">
      <alignment horizontal="center"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left"/>
    </xf>
    <xf numFmtId="0" fontId="9" fillId="2" borderId="0" xfId="0" applyNumberFormat="1" applyFont="1" applyFill="1" applyBorder="1" applyAlignment="1">
      <alignment horizontal="left" vertical="center" indent="1"/>
    </xf>
    <xf numFmtId="0" fontId="3" fillId="2" borderId="0" xfId="0" applyNumberFormat="1" applyFont="1" applyFill="1" applyBorder="1" applyAlignment="1">
      <alignment horizontal="left" vertical="center" indent="1"/>
    </xf>
    <xf numFmtId="0" fontId="3" fillId="2" borderId="0" xfId="0" applyNumberFormat="1" applyFont="1" applyFill="1" applyBorder="1" applyAlignment="1">
      <alignment horizontal="left" indent="1"/>
    </xf>
    <xf numFmtId="0" fontId="3" fillId="0" borderId="0" xfId="0" applyNumberFormat="1" applyFont="1"/>
    <xf numFmtId="14" fontId="3" fillId="2" borderId="0" xfId="1" applyNumberFormat="1" applyFont="1" applyFill="1">
      <alignment horizontal="left" vertical="center" indent="1"/>
    </xf>
    <xf numFmtId="14" fontId="14" fillId="4" borderId="2" xfId="17" applyNumberFormat="1" applyFont="1" applyBorder="1" applyAlignment="1">
      <alignment horizontal="left"/>
    </xf>
    <xf numFmtId="0" fontId="20" fillId="2" borderId="0" xfId="1" applyNumberFormat="1" applyFont="1" applyFill="1" applyBorder="1">
      <alignment horizontal="left" vertical="center" indent="1"/>
    </xf>
    <xf numFmtId="0" fontId="20" fillId="2" borderId="0" xfId="1" applyNumberFormat="1" applyFont="1" applyFill="1" applyBorder="1" applyProtection="1">
      <alignment horizontal="left" vertical="center" indent="1"/>
    </xf>
    <xf numFmtId="0" fontId="20" fillId="0" borderId="0" xfId="1" applyNumberFormat="1" applyFont="1" applyFill="1" applyBorder="1">
      <alignment horizontal="left" vertical="center" indent="1"/>
    </xf>
    <xf numFmtId="0" fontId="21" fillId="2" borderId="0" xfId="1" applyNumberFormat="1" applyFont="1" applyFill="1" applyAlignment="1">
      <alignment horizontal="center" vertical="center"/>
    </xf>
    <xf numFmtId="0" fontId="20" fillId="2" borderId="0" xfId="1" applyNumberFormat="1" applyFont="1" applyFill="1">
      <alignment horizontal="left" vertical="center" indent="1"/>
    </xf>
    <xf numFmtId="0" fontId="20" fillId="0" borderId="0" xfId="1" applyNumberFormat="1" applyFont="1" applyFill="1">
      <alignment horizontal="left" vertical="center" indent="1"/>
    </xf>
    <xf numFmtId="0" fontId="20" fillId="2" borderId="0" xfId="1" applyNumberFormat="1" applyFont="1" applyFill="1" applyAlignment="1">
      <alignment horizontal="center" vertical="center"/>
    </xf>
  </cellXfs>
  <cellStyles count="19">
    <cellStyle name="Heading 1" xfId="2" builtinId="16" customBuiltin="1"/>
    <cellStyle name="Indent" xfId="1"/>
    <cellStyle name="Normal" xfId="0" builtinId="0" customBuiltin="1"/>
    <cellStyle name="Normal 2" xfId="4"/>
    <cellStyle name="Normal 2 2" xfId="7"/>
    <cellStyle name="Normal 2 2 2" xfId="5"/>
    <cellStyle name="Normal 2 2 2 2" xfId="13"/>
    <cellStyle name="Normal 2 2 3" xfId="11"/>
    <cellStyle name="Normal 2 2 30" xfId="6"/>
    <cellStyle name="Normal 2 2 30 2" xfId="12"/>
    <cellStyle name="Normal 2 3" xfId="8"/>
    <cellStyle name="Normal 2 3 2" xfId="10"/>
    <cellStyle name="Normal 2 4" xfId="14"/>
    <cellStyle name="Normal 3" xfId="3"/>
    <cellStyle name="Normal 4" xfId="15"/>
    <cellStyle name="ODD" xfId="17"/>
    <cellStyle name="Percent" xfId="18" builtinId="5"/>
    <cellStyle name="Percent 3" xfId="9"/>
    <cellStyle name="Tabel Header" xfId="16"/>
  </cellStyles>
  <dxfs count="65"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</dxf>
    <dxf>
      <font>
        <b/>
        <strike val="0"/>
        <outline val="0"/>
        <shadow val="0"/>
        <u val="none"/>
        <vertAlign val="baseline"/>
        <sz val="9"/>
        <color theme="0"/>
        <name val="Calibri"/>
        <scheme val="none"/>
      </font>
      <fill>
        <patternFill>
          <fgColor indexed="64"/>
          <bgColor rgb="FF00B0F0"/>
        </patternFill>
      </fill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none"/>
      </font>
      <numFmt numFmtId="0" formatCode="General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/>
        <color theme="0" tint="-0.499984740745262"/>
      </font>
      <fill>
        <patternFill patternType="lightUp">
          <fgColor theme="0" tint="-0.24994659260841701"/>
        </patternFill>
      </fill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Calibri"/>
        <scheme val="none"/>
      </font>
      <numFmt numFmtId="0" formatCode="General"/>
    </dxf>
    <dxf>
      <font>
        <strike/>
        <color theme="0" tint="-0.499984740745262"/>
      </font>
      <fill>
        <patternFill patternType="lightUp">
          <fgColor theme="0" tint="-0.24994659260841701"/>
        </patternFill>
      </fill>
    </dxf>
    <dxf>
      <font>
        <strike/>
        <color theme="0" tint="-0.499984740745262"/>
      </font>
      <fill>
        <patternFill patternType="lightUp">
          <fgColor theme="0" tint="-0.24994659260841701"/>
        </patternFill>
      </fill>
    </dxf>
    <dxf>
      <font>
        <strike/>
        <color theme="0" tint="-0.499984740745262"/>
      </font>
      <fill>
        <patternFill patternType="lightUp">
          <fgColor theme="0" tint="-0.14996795556505021"/>
        </patternFill>
      </fill>
    </dxf>
    <dxf>
      <font>
        <color rgb="FFFF0000"/>
      </font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 style="thin">
          <color theme="0" tint="-0.24994659260841701"/>
        </horizontal>
      </border>
    </dxf>
    <dxf>
      <font>
        <b val="0"/>
        <i val="0"/>
        <sz val="10"/>
        <name val="Calibri"/>
        <scheme val="minor"/>
      </font>
    </dxf>
  </dxfs>
  <tableStyles count="2" defaultTableStyle="Weekly Planner Tables" defaultPivotStyle="PivotStyleLight16">
    <tableStyle name="Project.Tracking" pivot="0" table="0" count="3">
      <tableStyleElement type="headerRow" dxfId="64"/>
    </tableStyle>
    <tableStyle name="Weekly Planner Tables" pivot="0" count="2">
      <tableStyleElement type="firstRowStripe" dxfId="63"/>
      <tableStyleElement type="secondRowStripe" dxfId="62"/>
    </tableStyle>
  </tableStyles>
  <colors>
    <mruColors>
      <color rgb="FFE54A41"/>
      <color rgb="FFF7F7F7"/>
    </mruColors>
  </colors>
  <extLst>
    <ext xmlns:x14="http://schemas.microsoft.com/office/spreadsheetml/2009/9/main" uri="{46F421CA-312F-682f-3DD2-61675219B42D}">
      <x14:dxfs count="2">
        <dxf>
          <font>
            <sz val="9"/>
            <color rgb="FF00B0F0"/>
            <name val="Calibri"/>
            <scheme val="minor"/>
          </font>
          <border>
            <left style="thin">
              <color rgb="FF00B0F0"/>
            </left>
            <right style="thin">
              <color rgb="FF00B0F0"/>
            </right>
            <top style="thin">
              <color rgb="FF00B0F0"/>
            </top>
            <bottom style="thin">
              <color rgb="FF00B0F0"/>
            </bottom>
          </border>
        </dxf>
        <dxf>
          <font>
            <sz val="9"/>
            <color theme="0"/>
            <name val="Calibri"/>
            <scheme val="minor"/>
          </font>
          <fill>
            <patternFill>
              <bgColor rgb="FF00B0F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Project.Tracking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5" name="ProjectList" displayName="ProjectList" ref="B6:I28" totalsRowShown="0" headerRowDxfId="57" dataDxfId="56">
  <autoFilter ref="B6:I28"/>
  <tableColumns count="8">
    <tableColumn id="1" name="PROJECT" dataDxfId="55"/>
    <tableColumn id="3" name="COMPANY" dataDxfId="54"/>
    <tableColumn id="2" name="TYPE" dataDxfId="53"/>
    <tableColumn id="6" name="STATUS" dataDxfId="52"/>
    <tableColumn id="8" name="CHARGEABLE" dataDxfId="51" dataCellStyle="Indent"/>
    <tableColumn id="4" name="START" dataDxfId="50"/>
    <tableColumn id="5" name="END" dataDxfId="49"/>
    <tableColumn id="7" name="MEMBERS" dataDxfId="48">
      <calculatedColumnFormula>COUNTIFS(Tracking[PROJECT],ProjectList[[#This Row],[PROJECT]],Tracking[MEMBER],"&lt;&gt;")</calculatedColumnFormula>
    </tableColumn>
  </tableColumns>
  <tableStyleInfo name="Weekly Planner Tables" showFirstColumn="0" showLastColumn="0" showRowStripes="1" showColumnStripes="0"/>
</table>
</file>

<file path=xl/tables/table2.xml><?xml version="1.0" encoding="utf-8"?>
<table xmlns="http://schemas.openxmlformats.org/spreadsheetml/2006/main" id="8" name="Tracking" displayName="Tracking" ref="B6:K49" totalsRowShown="0" headerRowDxfId="46" dataDxfId="45" headerRowCellStyle="Tabel Header" dataCellStyle="Indent">
  <autoFilter ref="B6:K49"/>
  <tableColumns count="10">
    <tableColumn id="1" name="PROJECT" dataDxfId="44" dataCellStyle="Indent"/>
    <tableColumn id="2" name="TYPE" dataDxfId="43" dataCellStyle="Indent">
      <calculatedColumnFormula>IFERROR(VLOOKUP(Tracking[[#This Row],[PROJECT]],ProjectList[],COLUMN(ProjectList[TYPE])-1,FALSE),"")</calculatedColumnFormula>
    </tableColumn>
    <tableColumn id="11" name="STATUS" dataDxfId="42" dataCellStyle="Indent">
      <calculatedColumnFormula>IFERROR(VLOOKUP(Tracking[[#This Row],[PROJECT]],ProjectList[],COLUMN(ProjectList[STATUS])-1,FALSE),"")</calculatedColumnFormula>
    </tableColumn>
    <tableColumn id="3" name="MEMBER" dataDxfId="41" dataCellStyle="Indent"/>
    <tableColumn id="4" name="LEVEL" dataDxfId="40" dataCellStyle="Indent">
      <calculatedColumnFormula>IFERROR(VLOOKUP(Tracking[[#This Row],[MEMBER]],TeamList[],COLUMN(TeamList[LEVEL])-1,FALSE),"")</calculatedColumnFormula>
    </tableColumn>
    <tableColumn id="10" name="LOCATION" dataDxfId="39" dataCellStyle="Indent">
      <calculatedColumnFormula>IFERROR(VLOOKUP(Tracking[[#This Row],[MEMBER]],TeamList[],COLUMN(TeamList[LOCATION])-1,FALSE),"")</calculatedColumnFormula>
    </tableColumn>
    <tableColumn id="5" name="REPORTER" dataDxfId="38" dataCellStyle="Indent"/>
    <tableColumn id="6" name="START" dataDxfId="37" dataCellStyle="Indent"/>
    <tableColumn id="7" name="END" dataDxfId="36" dataCellStyle="Indent"/>
    <tableColumn id="8" name="COMMENTS" dataDxfId="35" dataCellStyle="Indent"/>
  </tableColumns>
  <tableStyleInfo name="Weekly Planner Tables" showFirstColumn="0" showLastColumn="0" showRowStripes="1" showColumnStripes="0"/>
</table>
</file>

<file path=xl/tables/table3.xml><?xml version="1.0" encoding="utf-8"?>
<table xmlns="http://schemas.openxmlformats.org/spreadsheetml/2006/main" id="2" name="TeamList" displayName="TeamList" ref="B8:L63" totalsRowShown="0" headerRowDxfId="34" dataDxfId="33" totalsRowDxfId="32" headerRowCellStyle="Tabel Header" dataCellStyle="Indent">
  <autoFilter ref="B8:L63"/>
  <tableColumns count="11">
    <tableColumn id="1" name="NAME" dataDxfId="31" dataCellStyle="Indent"/>
    <tableColumn id="2" name="STATUS" dataDxfId="30" dataCellStyle="Indent">
      <calculatedColumnFormula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calculatedColumnFormula>
    </tableColumn>
    <tableColumn id="4" name="PROJECT TYPE" dataDxfId="29" dataCellStyle="Indent">
      <calculatedColumnFormula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calculatedColumnFormula>
    </tableColumn>
    <tableColumn id="6" name="EID" dataDxfId="28" dataCellStyle="Indent"/>
    <tableColumn id="3" name="LEVEL" dataDxfId="27" dataCellStyle="Indent"/>
    <tableColumn id="5" name="CONTACT" dataDxfId="26" dataCellStyle="Indent"/>
    <tableColumn id="7" name="LOCATION" dataDxfId="25" dataCellStyle="Indent"/>
    <tableColumn id="11" name="MAIL" dataDxfId="24" dataCellStyle="Indent"/>
    <tableColumn id="8" name="JAVASCRIPT" dataDxfId="23" dataCellStyle="Indent"/>
    <tableColumn id="9" name="JQUERY" dataDxfId="22" dataCellStyle="Indent"/>
    <tableColumn id="10" name="ANGULARJS" dataDxfId="21" dataCellStyle="Indent"/>
  </tableColumns>
  <tableStyleInfo name="Weekly Planner Tables" showFirstColumn="0" showLastColumn="0" showRowStripes="1" showColumnStripes="0"/>
</table>
</file>

<file path=xl/tables/table4.xml><?xml version="1.0" encoding="utf-8"?>
<table xmlns="http://schemas.openxmlformats.org/spreadsheetml/2006/main" id="3" name="Settings.Level" displayName="Settings.Level" ref="B3:B8" totalsRowShown="0" headerRowDxfId="20" dataDxfId="19" headerRowCellStyle="Tabel Header" dataCellStyle="Indent">
  <autoFilter ref="B3:B8"/>
  <tableColumns count="1">
    <tableColumn id="1" name="LEVEL" dataDxfId="18" dataCellStyle="Indent"/>
  </tableColumns>
  <tableStyleInfo name="Weekly Planner Tables" showFirstColumn="0" showLastColumn="0" showRowStripes="1" showColumnStripes="0"/>
</table>
</file>

<file path=xl/tables/table5.xml><?xml version="1.0" encoding="utf-8"?>
<table xmlns="http://schemas.openxmlformats.org/spreadsheetml/2006/main" id="6" name="Settings.Locations" displayName="Settings.Locations" ref="D3:D6" totalsRowShown="0" headerRowDxfId="17" dataDxfId="16" headerRowCellStyle="Tabel Header" dataCellStyle="Indent">
  <autoFilter ref="D3:D6"/>
  <tableColumns count="1">
    <tableColumn id="1" name="LOCATION" dataDxfId="15" dataCellStyle="Indent"/>
  </tableColumns>
  <tableStyleInfo name="Weekly Planner Tables" showFirstColumn="0" showLastColumn="0" showRowStripes="1" showColumnStripes="0"/>
</table>
</file>

<file path=xl/tables/table6.xml><?xml version="1.0" encoding="utf-8"?>
<table xmlns="http://schemas.openxmlformats.org/spreadsheetml/2006/main" id="1" name="Settings.Status" displayName="Settings.Status" ref="F3:F7" totalsRowShown="0" headerRowDxfId="14" dataDxfId="13" headerRowCellStyle="Tabel Header" dataCellStyle="Indent">
  <autoFilter ref="F3:F7"/>
  <tableColumns count="1">
    <tableColumn id="1" name="STATUS" dataDxfId="12" dataCellStyle="Indent"/>
  </tableColumns>
  <tableStyleInfo name="Weekly Planner Tables" showFirstColumn="0" showLastColumn="0" showRowStripes="1" showColumnStripes="0"/>
</table>
</file>

<file path=xl/tables/table7.xml><?xml version="1.0" encoding="utf-8"?>
<table xmlns="http://schemas.openxmlformats.org/spreadsheetml/2006/main" id="4" name="Settings.StatusType" displayName="Settings.StatusType" ref="H3:H7" totalsRowShown="0" headerRowDxfId="11" dataDxfId="10" headerRowCellStyle="Tabel Header" dataCellStyle="Indent">
  <autoFilter ref="H3:H7"/>
  <tableColumns count="1">
    <tableColumn id="1" name="STATUS TYPE" dataDxfId="9" dataCellStyle="Indent"/>
  </tableColumns>
  <tableStyleInfo name="Weekly Planner Tables" showFirstColumn="0" showLastColumn="0" showRowStripes="1" showColumnStripes="0"/>
</table>
</file>

<file path=xl/tables/table8.xml><?xml version="1.0" encoding="utf-8"?>
<table xmlns="http://schemas.openxmlformats.org/spreadsheetml/2006/main" id="7" name="Settings.Project" displayName="Settings.Project" ref="B14:B17" totalsRowShown="0" headerRowDxfId="8" dataDxfId="7" headerRowCellStyle="Tabel Header" dataCellStyle="Indent">
  <autoFilter ref="B14:B17"/>
  <tableColumns count="1">
    <tableColumn id="1" name="PROJECT STATUS" dataDxfId="6" dataCellStyle="Indent"/>
  </tableColumns>
  <tableStyleInfo name="Weekly Planner Tables" showFirstColumn="0" showLastColumn="0" showRowStripes="1" showColumnStripes="0"/>
</table>
</file>

<file path=xl/tables/table9.xml><?xml version="1.0" encoding="utf-8"?>
<table xmlns="http://schemas.openxmlformats.org/spreadsheetml/2006/main" id="9" name="Settings.TeamLeader" displayName="Settings.TeamLeader" ref="B23:B30" totalsRowShown="0" headerRowDxfId="5" dataDxfId="4" headerRowCellStyle="Tabel Header" dataCellStyle="Indent">
  <autoFilter ref="B23:B30"/>
  <tableColumns count="1">
    <tableColumn id="1" name="TEAM LEADER" dataDxfId="3" dataCellStyle="Indent"/>
  </tableColumns>
  <tableStyleInfo name="Weekly Planner Tables" showFirstColumn="0" showLastColumn="0" showRowStripes="1" showColumnStripes="0"/>
</table>
</file>

<file path=xl/tables/table10.xml><?xml version="1.0" encoding="utf-8"?>
<table xmlns="http://schemas.openxmlformats.org/spreadsheetml/2006/main" id="10" name="Settings.ProjectType" displayName="Settings.ProjectType" ref="D14:D17" totalsRowShown="0" headerRowDxfId="2" dataDxfId="1" headerRowCellStyle="Tabel Header" dataCellStyle="Indent">
  <autoFilter ref="D14:D17"/>
  <tableColumns count="1">
    <tableColumn id="1" name="PROJECT TYPE" dataDxfId="0" dataCellStyle="Indent"/>
  </tableColumns>
  <tableStyleInfo name="Weekly Planner Table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32"/>
  <sheetViews>
    <sheetView workbookViewId="0">
      <selection activeCell="H14" sqref="H14"/>
    </sheetView>
  </sheetViews>
  <sheetFormatPr defaultColWidth="9.33203125" defaultRowHeight="15" customHeight="1"/>
  <cols>
    <col min="1" max="1" width="2.33203125" style="17" customWidth="1"/>
    <col min="2" max="9" width="30.83203125" style="17" customWidth="1"/>
    <col min="10" max="16384" width="9.33203125" style="17"/>
  </cols>
  <sheetData>
    <row r="1" spans="2:9" ht="32.25" customHeight="1" thickBot="1">
      <c r="B1" s="14" t="s">
        <v>172</v>
      </c>
      <c r="C1" s="15"/>
      <c r="D1" s="15"/>
      <c r="E1" s="15"/>
      <c r="F1" s="15"/>
      <c r="G1" s="15"/>
      <c r="H1" s="16"/>
      <c r="I1" s="16"/>
    </row>
    <row r="2" spans="2:9" ht="8.1" customHeight="1"/>
    <row r="3" spans="2:9" s="7" customFormat="1" ht="15" customHeight="1">
      <c r="B3" s="18" t="s">
        <v>173</v>
      </c>
      <c r="C3" s="18" t="s">
        <v>174</v>
      </c>
      <c r="D3" s="18" t="s">
        <v>175</v>
      </c>
      <c r="E3" s="18" t="s">
        <v>176</v>
      </c>
      <c r="F3" s="18" t="s">
        <v>211</v>
      </c>
      <c r="G3" s="18" t="s">
        <v>177</v>
      </c>
      <c r="H3" s="18" t="s">
        <v>178</v>
      </c>
      <c r="I3" s="18" t="s">
        <v>179</v>
      </c>
    </row>
    <row r="4" spans="2:9" s="7" customFormat="1" ht="15" customHeight="1">
      <c r="B4" s="5">
        <f>COUNTA(ProjectList[PROJECT])</f>
        <v>22</v>
      </c>
      <c r="C4" s="6">
        <f>IFERROR(COUNTIF(ProjectList[TYPE],"External"),"")</f>
        <v>12</v>
      </c>
      <c r="D4" s="5">
        <f>IFERROR(COUNTIF(ProjectList[TYPE],"Internal"),"")</f>
        <v>10</v>
      </c>
      <c r="E4" s="6">
        <f>IFERROR(COUNTIF(ProjectList[STATUS],"Started"),"")</f>
        <v>19</v>
      </c>
      <c r="F4" s="5">
        <f>IFERROR(COUNTIF(ProjectList[CHARGEABLE],1),"")</f>
        <v>20</v>
      </c>
      <c r="G4" s="5">
        <f>IFERROR(COUNTIF(ProjectList[STATUS],"Planned"),"")</f>
        <v>2</v>
      </c>
      <c r="H4" s="6">
        <f>IFERROR(COUNTIF(ProjectList[STATUS],"Ended"),"")</f>
        <v>1</v>
      </c>
      <c r="I4" s="5">
        <f>SUMIFS(ProjectList[MEMBERS],ProjectList[STATUS],"&lt;&gt;Ended")</f>
        <v>41</v>
      </c>
    </row>
    <row r="5" spans="2:9" ht="8.1" customHeight="1"/>
    <row r="6" spans="2:9" ht="15" customHeight="1">
      <c r="B6" s="19" t="s">
        <v>165</v>
      </c>
      <c r="C6" s="19" t="s">
        <v>166</v>
      </c>
      <c r="D6" s="19" t="s">
        <v>167</v>
      </c>
      <c r="E6" s="19" t="s">
        <v>168</v>
      </c>
      <c r="F6" s="19" t="s">
        <v>210</v>
      </c>
      <c r="G6" s="19" t="s">
        <v>169</v>
      </c>
      <c r="H6" s="19" t="s">
        <v>170</v>
      </c>
      <c r="I6" s="19" t="s">
        <v>171</v>
      </c>
    </row>
    <row r="7" spans="2:9" ht="15" customHeight="1">
      <c r="B7" s="11" t="s">
        <v>115</v>
      </c>
      <c r="C7" s="11" t="s">
        <v>83</v>
      </c>
      <c r="D7" s="11" t="s">
        <v>77</v>
      </c>
      <c r="E7" s="11" t="s">
        <v>110</v>
      </c>
      <c r="F7" s="12">
        <v>1</v>
      </c>
      <c r="G7" s="11"/>
      <c r="H7" s="47">
        <v>42482</v>
      </c>
      <c r="I7" s="11">
        <f>COUNTIFS(Tracking[PROJECT],ProjectList[[#This Row],[PROJECT]],Tracking[MEMBER],"&lt;&gt;")</f>
        <v>13</v>
      </c>
    </row>
    <row r="8" spans="2:9" ht="15" customHeight="1">
      <c r="B8" s="11" t="s">
        <v>80</v>
      </c>
      <c r="C8" s="11" t="s">
        <v>84</v>
      </c>
      <c r="D8" s="11" t="s">
        <v>77</v>
      </c>
      <c r="E8" s="11" t="s">
        <v>78</v>
      </c>
      <c r="F8" s="12">
        <v>1</v>
      </c>
      <c r="G8" s="11"/>
      <c r="H8" s="11"/>
      <c r="I8" s="11">
        <f>COUNTIFS(Tracking[PROJECT],ProjectList[[#This Row],[PROJECT]],Tracking[MEMBER],"&lt;&gt;")</f>
        <v>0</v>
      </c>
    </row>
    <row r="9" spans="2:9" ht="15" customHeight="1">
      <c r="B9" s="11" t="s">
        <v>81</v>
      </c>
      <c r="C9" s="11" t="s">
        <v>85</v>
      </c>
      <c r="D9" s="11" t="s">
        <v>77</v>
      </c>
      <c r="E9" s="11" t="s">
        <v>78</v>
      </c>
      <c r="F9" s="12">
        <v>1</v>
      </c>
      <c r="G9" s="11"/>
      <c r="H9" s="11"/>
      <c r="I9" s="11">
        <f>COUNTIFS(Tracking[PROJECT],ProjectList[[#This Row],[PROJECT]],Tracking[MEMBER],"&lt;&gt;")</f>
        <v>0</v>
      </c>
    </row>
    <row r="10" spans="2:9" ht="15" customHeight="1">
      <c r="B10" s="11" t="s">
        <v>86</v>
      </c>
      <c r="C10" s="11" t="s">
        <v>82</v>
      </c>
      <c r="D10" s="11" t="s">
        <v>77</v>
      </c>
      <c r="E10" s="11" t="s">
        <v>110</v>
      </c>
      <c r="F10" s="12">
        <v>1</v>
      </c>
      <c r="G10" s="11"/>
      <c r="H10" s="47">
        <v>42482</v>
      </c>
      <c r="I10" s="11">
        <f>COUNTIFS(Tracking[PROJECT],ProjectList[[#This Row],[PROJECT]],Tracking[MEMBER],"&lt;&gt;")</f>
        <v>7</v>
      </c>
    </row>
    <row r="11" spans="2:9" ht="15" customHeight="1">
      <c r="B11" s="11" t="s">
        <v>87</v>
      </c>
      <c r="C11" s="11" t="s">
        <v>91</v>
      </c>
      <c r="D11" s="11" t="s">
        <v>76</v>
      </c>
      <c r="E11" s="11" t="s">
        <v>110</v>
      </c>
      <c r="F11" s="12">
        <v>1</v>
      </c>
      <c r="G11" s="11"/>
      <c r="H11" s="11"/>
      <c r="I11" s="11">
        <f>COUNTIFS(Tracking[PROJECT],ProjectList[[#This Row],[PROJECT]],Tracking[MEMBER],"&lt;&gt;")</f>
        <v>1</v>
      </c>
    </row>
    <row r="12" spans="2:9" ht="15" customHeight="1">
      <c r="B12" s="11" t="s">
        <v>220</v>
      </c>
      <c r="C12" s="11" t="s">
        <v>91</v>
      </c>
      <c r="D12" s="11" t="s">
        <v>76</v>
      </c>
      <c r="E12" s="11" t="s">
        <v>110</v>
      </c>
      <c r="F12" s="12">
        <v>1</v>
      </c>
      <c r="G12" s="11"/>
      <c r="H12" s="11"/>
      <c r="I12" s="11">
        <f>COUNTIFS(Tracking[PROJECT],ProjectList[[#This Row],[PROJECT]],Tracking[MEMBER],"&lt;&gt;")</f>
        <v>0</v>
      </c>
    </row>
    <row r="13" spans="2:9" ht="15" customHeight="1">
      <c r="B13" s="11" t="s">
        <v>89</v>
      </c>
      <c r="C13" s="11" t="s">
        <v>90</v>
      </c>
      <c r="D13" s="11" t="s">
        <v>76</v>
      </c>
      <c r="E13" s="11" t="s">
        <v>110</v>
      </c>
      <c r="F13" s="12">
        <v>1</v>
      </c>
      <c r="G13" s="11"/>
      <c r="H13" s="11"/>
      <c r="I13" s="11">
        <f>COUNTIFS(Tracking[PROJECT],ProjectList[[#This Row],[PROJECT]],Tracking[MEMBER],"&lt;&gt;")</f>
        <v>0</v>
      </c>
    </row>
    <row r="14" spans="2:9" ht="15" customHeight="1">
      <c r="B14" s="11" t="s">
        <v>226</v>
      </c>
      <c r="C14" s="11" t="s">
        <v>92</v>
      </c>
      <c r="D14" s="11" t="s">
        <v>77</v>
      </c>
      <c r="E14" s="11" t="s">
        <v>110</v>
      </c>
      <c r="F14" s="12">
        <v>1</v>
      </c>
      <c r="G14" s="11"/>
      <c r="H14" s="11"/>
      <c r="I14" s="11">
        <f>COUNTIFS(Tracking[PROJECT],ProjectList[[#This Row],[PROJECT]],Tracking[MEMBER],"&lt;&gt;")</f>
        <v>3</v>
      </c>
    </row>
    <row r="15" spans="2:9" ht="15" customHeight="1">
      <c r="B15" s="11" t="s">
        <v>93</v>
      </c>
      <c r="C15" s="11" t="s">
        <v>94</v>
      </c>
      <c r="D15" s="11" t="s">
        <v>77</v>
      </c>
      <c r="E15" s="11" t="s">
        <v>110</v>
      </c>
      <c r="F15" s="12">
        <v>1</v>
      </c>
      <c r="G15" s="11"/>
      <c r="H15" s="11"/>
      <c r="I15" s="11">
        <f>COUNTIFS(Tracking[PROJECT],ProjectList[[#This Row],[PROJECT]],Tracking[MEMBER],"&lt;&gt;")</f>
        <v>2</v>
      </c>
    </row>
    <row r="16" spans="2:9" ht="15" customHeight="1">
      <c r="B16" s="11" t="s">
        <v>221</v>
      </c>
      <c r="C16" s="11" t="s">
        <v>96</v>
      </c>
      <c r="D16" s="11" t="s">
        <v>76</v>
      </c>
      <c r="E16" s="11" t="s">
        <v>110</v>
      </c>
      <c r="F16" s="12">
        <v>1</v>
      </c>
      <c r="G16" s="11"/>
      <c r="H16" s="11"/>
      <c r="I16" s="11">
        <f>COUNTIFS(Tracking[PROJECT],ProjectList[[#This Row],[PROJECT]],Tracking[MEMBER],"&lt;&gt;")</f>
        <v>0</v>
      </c>
    </row>
    <row r="17" spans="2:9" ht="15" customHeight="1">
      <c r="B17" s="11" t="s">
        <v>95</v>
      </c>
      <c r="C17" s="11" t="s">
        <v>90</v>
      </c>
      <c r="D17" s="11" t="s">
        <v>76</v>
      </c>
      <c r="E17" s="11" t="s">
        <v>110</v>
      </c>
      <c r="F17" s="12"/>
      <c r="G17" s="11"/>
      <c r="H17" s="11"/>
      <c r="I17" s="11">
        <f>COUNTIFS(Tracking[PROJECT],ProjectList[[#This Row],[PROJECT]],Tracking[MEMBER],"&lt;&gt;")</f>
        <v>1</v>
      </c>
    </row>
    <row r="18" spans="2:9" ht="15" customHeight="1">
      <c r="B18" s="11" t="s">
        <v>97</v>
      </c>
      <c r="C18" s="11" t="s">
        <v>98</v>
      </c>
      <c r="D18" s="11" t="s">
        <v>77</v>
      </c>
      <c r="E18" s="11" t="s">
        <v>110</v>
      </c>
      <c r="F18" s="12">
        <v>1</v>
      </c>
      <c r="G18" s="11"/>
      <c r="H18" s="11"/>
      <c r="I18" s="11">
        <f>COUNTIFS(Tracking[PROJECT],ProjectList[[#This Row],[PROJECT]],Tracking[MEMBER],"&lt;&gt;")</f>
        <v>1</v>
      </c>
    </row>
    <row r="19" spans="2:9" ht="15" customHeight="1">
      <c r="B19" s="11" t="s">
        <v>222</v>
      </c>
      <c r="C19" s="11" t="s">
        <v>99</v>
      </c>
      <c r="D19" s="11" t="s">
        <v>77</v>
      </c>
      <c r="E19" s="11" t="s">
        <v>110</v>
      </c>
      <c r="F19" s="12">
        <v>1</v>
      </c>
      <c r="G19" s="11"/>
      <c r="H19" s="11"/>
      <c r="I19" s="11">
        <f>COUNTIFS(Tracking[PROJECT],ProjectList[[#This Row],[PROJECT]],Tracking[MEMBER],"&lt;&gt;")</f>
        <v>0</v>
      </c>
    </row>
    <row r="20" spans="2:9" ht="15" customHeight="1">
      <c r="B20" s="11" t="s">
        <v>100</v>
      </c>
      <c r="C20" s="11" t="s">
        <v>113</v>
      </c>
      <c r="D20" s="11" t="s">
        <v>77</v>
      </c>
      <c r="E20" s="11" t="s">
        <v>110</v>
      </c>
      <c r="F20" s="12">
        <v>1</v>
      </c>
      <c r="G20" s="11"/>
      <c r="H20" s="11"/>
      <c r="I20" s="11">
        <f>COUNTIFS(Tracking[PROJECT],ProjectList[[#This Row],[PROJECT]],Tracking[MEMBER],"&lt;&gt;")</f>
        <v>0</v>
      </c>
    </row>
    <row r="21" spans="2:9" ht="15" customHeight="1">
      <c r="B21" s="11" t="s">
        <v>101</v>
      </c>
      <c r="C21" s="11" t="s">
        <v>102</v>
      </c>
      <c r="D21" s="11" t="s">
        <v>77</v>
      </c>
      <c r="E21" s="11" t="s">
        <v>110</v>
      </c>
      <c r="F21" s="12">
        <v>1</v>
      </c>
      <c r="G21" s="11"/>
      <c r="H21" s="11"/>
      <c r="I21" s="11">
        <f>COUNTIFS(Tracking[PROJECT],ProjectList[[#This Row],[PROJECT]],Tracking[MEMBER],"&lt;&gt;")</f>
        <v>1</v>
      </c>
    </row>
    <row r="22" spans="2:9" ht="15" customHeight="1">
      <c r="B22" s="11" t="s">
        <v>103</v>
      </c>
      <c r="C22" s="11" t="s">
        <v>91</v>
      </c>
      <c r="D22" s="11" t="s">
        <v>76</v>
      </c>
      <c r="E22" s="11" t="s">
        <v>110</v>
      </c>
      <c r="F22" s="12">
        <v>1</v>
      </c>
      <c r="G22" s="11"/>
      <c r="H22" s="11"/>
      <c r="I22" s="11">
        <f>COUNTIFS(Tracking[PROJECT],ProjectList[[#This Row],[PROJECT]],Tracking[MEMBER],"&lt;&gt;")</f>
        <v>3</v>
      </c>
    </row>
    <row r="23" spans="2:9" ht="15" customHeight="1">
      <c r="B23" s="11" t="s">
        <v>104</v>
      </c>
      <c r="C23" s="11" t="s">
        <v>91</v>
      </c>
      <c r="D23" s="11" t="s">
        <v>76</v>
      </c>
      <c r="E23" s="11" t="s">
        <v>110</v>
      </c>
      <c r="F23" s="12">
        <v>1</v>
      </c>
      <c r="G23" s="11"/>
      <c r="H23" s="11"/>
      <c r="I23" s="11">
        <f>COUNTIFS(Tracking[PROJECT],ProjectList[[#This Row],[PROJECT]],Tracking[MEMBER],"&lt;&gt;")</f>
        <v>0</v>
      </c>
    </row>
    <row r="24" spans="2:9" ht="15" customHeight="1">
      <c r="B24" s="11" t="s">
        <v>225</v>
      </c>
      <c r="C24" s="11" t="s">
        <v>106</v>
      </c>
      <c r="D24" s="11" t="s">
        <v>77</v>
      </c>
      <c r="E24" s="11" t="s">
        <v>110</v>
      </c>
      <c r="F24" s="12">
        <v>1</v>
      </c>
      <c r="G24" s="11"/>
      <c r="H24" s="11"/>
      <c r="I24" s="11">
        <f>COUNTIFS(Tracking[PROJECT],ProjectList[[#This Row],[PROJECT]],Tracking[MEMBER],"&lt;&gt;")</f>
        <v>1</v>
      </c>
    </row>
    <row r="25" spans="2:9" ht="15" customHeight="1">
      <c r="B25" s="11" t="s">
        <v>223</v>
      </c>
      <c r="C25" s="11" t="s">
        <v>91</v>
      </c>
      <c r="D25" s="11" t="s">
        <v>76</v>
      </c>
      <c r="E25" s="11" t="s">
        <v>110</v>
      </c>
      <c r="F25" s="12">
        <v>1</v>
      </c>
      <c r="G25" s="11"/>
      <c r="H25" s="11"/>
      <c r="I25" s="11">
        <f>COUNTIFS(Tracking[PROJECT],ProjectList[[#This Row],[PROJECT]],Tracking[MEMBER],"&lt;&gt;")</f>
        <v>4</v>
      </c>
    </row>
    <row r="26" spans="2:9" ht="15" customHeight="1">
      <c r="B26" s="11" t="s">
        <v>224</v>
      </c>
      <c r="C26" s="11" t="s">
        <v>109</v>
      </c>
      <c r="D26" s="11" t="s">
        <v>77</v>
      </c>
      <c r="E26" s="11" t="s">
        <v>110</v>
      </c>
      <c r="F26" s="12">
        <v>1</v>
      </c>
      <c r="G26" s="11"/>
      <c r="H26" s="11"/>
      <c r="I26" s="11">
        <f>COUNTIFS(Tracking[PROJECT],ProjectList[[#This Row],[PROJECT]],Tracking[MEMBER],"&lt;&gt;")</f>
        <v>2</v>
      </c>
    </row>
    <row r="27" spans="2:9" ht="15" customHeight="1">
      <c r="B27" s="11" t="s">
        <v>234</v>
      </c>
      <c r="C27" s="11" t="s">
        <v>88</v>
      </c>
      <c r="D27" s="11" t="s">
        <v>76</v>
      </c>
      <c r="E27" s="11" t="s">
        <v>110</v>
      </c>
      <c r="F27" s="12">
        <v>1</v>
      </c>
      <c r="G27" s="11"/>
      <c r="H27" s="11"/>
      <c r="I27" s="11">
        <f>COUNTIFS(Tracking[PROJECT],ProjectList[[#This Row],[PROJECT]],Tracking[MEMBER],"&lt;&gt;")</f>
        <v>2</v>
      </c>
    </row>
    <row r="28" spans="2:9" ht="15" customHeight="1">
      <c r="B28" s="13" t="s">
        <v>219</v>
      </c>
      <c r="C28" s="11" t="s">
        <v>88</v>
      </c>
      <c r="D28" s="11" t="s">
        <v>76</v>
      </c>
      <c r="E28" s="11" t="s">
        <v>111</v>
      </c>
      <c r="F28" s="12"/>
      <c r="G28" s="11"/>
      <c r="H28" s="11"/>
      <c r="I28" s="11">
        <f>COUNTIFS(Tracking[PROJECT],ProjectList[[#This Row],[PROJECT]],Tracking[MEMBER],"&lt;&gt;")</f>
        <v>2</v>
      </c>
    </row>
    <row r="32" spans="2:9" ht="20.100000000000001" customHeight="1"/>
  </sheetData>
  <phoneticPr fontId="5" type="noConversion"/>
  <conditionalFormatting sqref="W15">
    <cfRule type="expression" dxfId="61" priority="7">
      <formula>E28=1</formula>
    </cfRule>
  </conditionalFormatting>
  <conditionalFormatting sqref="B8:I9 B11:I28 B10:G10 I10 B7:G7 I7">
    <cfRule type="expression" dxfId="60" priority="6">
      <formula>$E7="Ended"</formula>
    </cfRule>
  </conditionalFormatting>
  <conditionalFormatting sqref="H10">
    <cfRule type="expression" dxfId="59" priority="2">
      <formula>$D10="Ended"</formula>
    </cfRule>
  </conditionalFormatting>
  <conditionalFormatting sqref="H7">
    <cfRule type="expression" dxfId="58" priority="1">
      <formula>$D7="Ended"</formula>
    </cfRule>
  </conditionalFormatting>
  <dataValidations count="2">
    <dataValidation type="list" allowBlank="1" showInputMessage="1" showErrorMessage="1" sqref="E7:E28">
      <formula1>ProjectStatus</formula1>
    </dataValidation>
    <dataValidation type="list" allowBlank="1" showInputMessage="1" showErrorMessage="1" sqref="D7:D28">
      <formula1>ProjectType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95F4C8B4-C68D-41A3-83A3-B72778A83898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F12</xm:sqref>
        </x14:conditionalFormatting>
        <x14:conditionalFormatting xmlns:xm="http://schemas.microsoft.com/office/excel/2006/main">
          <x14:cfRule type="iconSet" priority="4" id="{DE3EE450-DD29-4E88-8785-35A0041C1EF0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F7</xm:sqref>
        </x14:conditionalFormatting>
        <x14:conditionalFormatting xmlns:xm="http://schemas.microsoft.com/office/excel/2006/main">
          <x14:cfRule type="iconSet" priority="52" id="{D128F9F5-96DA-4233-92FC-D3370E8E4276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F8:F28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49"/>
  <sheetViews>
    <sheetView tabSelected="1" topLeftCell="A13" zoomScaleNormal="100" workbookViewId="0">
      <selection activeCell="F55" sqref="F55"/>
    </sheetView>
  </sheetViews>
  <sheetFormatPr defaultColWidth="9.33203125" defaultRowHeight="15" customHeight="1"/>
  <cols>
    <col min="1" max="1" width="2.33203125" style="23" customWidth="1"/>
    <col min="2" max="2" width="30.83203125" style="24" customWidth="1"/>
    <col min="3" max="3" width="20.83203125" style="24" customWidth="1"/>
    <col min="4" max="4" width="20.83203125" style="23" customWidth="1"/>
    <col min="5" max="5" width="20.83203125" style="24" customWidth="1"/>
    <col min="6" max="10" width="20.83203125" style="23" customWidth="1"/>
    <col min="11" max="11" width="60.1640625" style="23" customWidth="1"/>
    <col min="12" max="16384" width="9.33203125" style="23"/>
  </cols>
  <sheetData>
    <row r="1" spans="2:11" ht="32.25" customHeight="1" thickBot="1">
      <c r="B1" s="20" t="s">
        <v>180</v>
      </c>
      <c r="C1" s="21"/>
      <c r="D1" s="22"/>
      <c r="E1" s="21"/>
      <c r="F1" s="22"/>
      <c r="G1" s="22"/>
      <c r="H1" s="22"/>
      <c r="I1" s="22"/>
      <c r="J1" s="22"/>
      <c r="K1" s="22"/>
    </row>
    <row r="2" spans="2:11" ht="8.1" customHeight="1"/>
    <row r="3" spans="2:11" ht="15" customHeight="1">
      <c r="B3" s="25" t="s">
        <v>214</v>
      </c>
      <c r="C3" s="25" t="s">
        <v>193</v>
      </c>
      <c r="D3" s="26" t="s">
        <v>215</v>
      </c>
      <c r="E3" s="25" t="s">
        <v>171</v>
      </c>
      <c r="F3" s="26" t="s">
        <v>216</v>
      </c>
    </row>
    <row r="4" spans="2:11" ht="15" customHeight="1">
      <c r="B4" s="48"/>
      <c r="C4" s="8" t="str">
        <f>IFERROR(VLOOKUP(Tracking.ProjectName,Tracking[],2,FALSE),"")</f>
        <v/>
      </c>
      <c r="D4" s="8" t="str">
        <f>IFERROR(VLOOKUP(Tracking.ProjectName,Tracking[],3,FALSE),"")</f>
        <v/>
      </c>
      <c r="E4" s="8">
        <f>IFERROR(COUNTIF(Tracking[PROJECT],Tracking.ProjectName),"")</f>
        <v>0</v>
      </c>
      <c r="F4" s="48" t="str">
        <f>IFERROR(IF(VLOOKUP(Tracking.ProjectName,ProjectList[],7,FALSE)&lt;&gt;0,VLOOKUP(Tracking.ProjectName,ProjectList[],7,FALSE),""),"")</f>
        <v/>
      </c>
    </row>
    <row r="5" spans="2:11" ht="8.1" customHeight="1"/>
    <row r="6" spans="2:11" ht="15" customHeight="1">
      <c r="B6" s="27" t="s">
        <v>165</v>
      </c>
      <c r="C6" s="27" t="s">
        <v>167</v>
      </c>
      <c r="D6" s="27" t="s">
        <v>168</v>
      </c>
      <c r="E6" s="27" t="s">
        <v>181</v>
      </c>
      <c r="F6" s="27" t="s">
        <v>182</v>
      </c>
      <c r="G6" s="27" t="s">
        <v>183</v>
      </c>
      <c r="H6" s="27" t="s">
        <v>184</v>
      </c>
      <c r="I6" s="27" t="s">
        <v>169</v>
      </c>
      <c r="J6" s="27" t="s">
        <v>170</v>
      </c>
      <c r="K6" s="27" t="s">
        <v>185</v>
      </c>
    </row>
    <row r="7" spans="2:11" ht="15" customHeight="1">
      <c r="B7" s="3" t="s">
        <v>114</v>
      </c>
      <c r="C7" s="3" t="str">
        <f>IFERROR(VLOOKUP(Tracking[[#This Row],[PROJECT]],ProjectList[],COLUMN(ProjectList[TYPE])-1,FALSE),"")</f>
        <v>External</v>
      </c>
      <c r="D7" s="3" t="str">
        <f>IFERROR(VLOOKUP(Tracking[[#This Row],[PROJECT]],ProjectList[],COLUMN(ProjectList[STATUS])-1,FALSE),"")</f>
        <v>Started</v>
      </c>
      <c r="E7" s="3" t="s">
        <v>32</v>
      </c>
      <c r="F7" s="2" t="str">
        <f>IFERROR(VLOOKUP(Tracking[[#This Row],[MEMBER]],TeamList[],COLUMN(TeamList[LEVEL])-1,FALSE),"")</f>
        <v>TL</v>
      </c>
      <c r="G7" s="2" t="str">
        <f>IFERROR(VLOOKUP(Tracking[[#This Row],[MEMBER]],TeamList[],COLUMN(TeamList[LOCATION])-1,FALSE),"")</f>
        <v>Shanghai</v>
      </c>
      <c r="H7" s="3" t="s">
        <v>2</v>
      </c>
      <c r="I7" s="3"/>
      <c r="J7" s="3"/>
      <c r="K7" s="3"/>
    </row>
    <row r="8" spans="2:11" ht="15" customHeight="1">
      <c r="B8" s="3" t="s">
        <v>229</v>
      </c>
      <c r="C8" s="3" t="str">
        <f>IFERROR(VLOOKUP(Tracking[[#This Row],[PROJECT]],ProjectList[],COLUMN(ProjectList[TYPE])-1,FALSE),"")</f>
        <v>External</v>
      </c>
      <c r="D8" s="3" t="str">
        <f>IFERROR(VLOOKUP(Tracking[[#This Row],[PROJECT]],ProjectList[],COLUMN(ProjectList[STATUS])-1,FALSE),"")</f>
        <v>Started</v>
      </c>
      <c r="E8" s="3" t="s">
        <v>0</v>
      </c>
      <c r="F8" s="3" t="str">
        <f>IFERROR(VLOOKUP(Tracking[[#This Row],[MEMBER]],TeamList[],COLUMN(TeamList[LEVEL])-1,FALSE),"")</f>
        <v>SSE</v>
      </c>
      <c r="G8" s="2" t="str">
        <f>IFERROR(VLOOKUP(Tracking[[#This Row],[MEMBER]],TeamList[],COLUMN(TeamList[LOCATION])-1,FALSE),"")</f>
        <v>Shanghai</v>
      </c>
      <c r="H8" s="3" t="s">
        <v>2</v>
      </c>
      <c r="I8" s="3"/>
      <c r="J8" s="3"/>
      <c r="K8" s="3"/>
    </row>
    <row r="9" spans="2:11" ht="15" customHeight="1">
      <c r="B9" s="3" t="s">
        <v>227</v>
      </c>
      <c r="C9" s="3" t="str">
        <f>IFERROR(VLOOKUP(Tracking[[#This Row],[PROJECT]],ProjectList[],COLUMN(ProjectList[TYPE])-1,FALSE),"")</f>
        <v>External</v>
      </c>
      <c r="D9" s="3" t="str">
        <f>IFERROR(VLOOKUP(Tracking[[#This Row],[PROJECT]],ProjectList[],COLUMN(ProjectList[STATUS])-1,FALSE),"")</f>
        <v>Started</v>
      </c>
      <c r="E9" s="3" t="s">
        <v>1</v>
      </c>
      <c r="F9" s="3" t="str">
        <f>IFERROR(VLOOKUP(Tracking[[#This Row],[MEMBER]],TeamList[],COLUMN(TeamList[LEVEL])-1,FALSE),"")</f>
        <v>SSE</v>
      </c>
      <c r="G9" s="2" t="str">
        <f>IFERROR(VLOOKUP(Tracking[[#This Row],[MEMBER]],TeamList[],COLUMN(TeamList[LOCATION])-1,FALSE),"")</f>
        <v>Shanghai</v>
      </c>
      <c r="H9" s="3" t="s">
        <v>2</v>
      </c>
      <c r="I9" s="3"/>
      <c r="J9" s="3"/>
      <c r="K9" s="3"/>
    </row>
    <row r="10" spans="2:11" ht="15" customHeight="1">
      <c r="B10" s="3" t="s">
        <v>79</v>
      </c>
      <c r="C10" s="3" t="str">
        <f>IFERROR(VLOOKUP(Tracking[[#This Row],[PROJECT]],ProjectList[],COLUMN(ProjectList[TYPE])-1,FALSE),"")</f>
        <v>External</v>
      </c>
      <c r="D10" s="3" t="str">
        <f>IFERROR(VLOOKUP(Tracking[[#This Row],[PROJECT]],ProjectList[],COLUMN(ProjectList[STATUS])-1,FALSE),"")</f>
        <v>Started</v>
      </c>
      <c r="E10" s="3" t="s">
        <v>31</v>
      </c>
      <c r="F10" s="3" t="str">
        <f>IFERROR(VLOOKUP(Tracking[[#This Row],[MEMBER]],TeamList[],COLUMN(TeamList[LEVEL])-1,FALSE),"")</f>
        <v>SSE</v>
      </c>
      <c r="G10" s="3" t="str">
        <f>IFERROR(VLOOKUP(Tracking[[#This Row],[MEMBER]],TeamList[],COLUMN(TeamList[LOCATION])-1,FALSE),"")</f>
        <v>Shanghai</v>
      </c>
      <c r="H10" s="3" t="s">
        <v>164</v>
      </c>
      <c r="I10" s="3"/>
      <c r="J10" s="3"/>
      <c r="K10" s="3"/>
    </row>
    <row r="11" spans="2:11" ht="15" customHeight="1">
      <c r="B11" s="3" t="s">
        <v>229</v>
      </c>
      <c r="C11" s="3" t="str">
        <f>IFERROR(VLOOKUP(Tracking[[#This Row],[PROJECT]],ProjectList[],COLUMN(ProjectList[TYPE])-1,FALSE),"")</f>
        <v>External</v>
      </c>
      <c r="D11" s="3" t="str">
        <f>IFERROR(VLOOKUP(Tracking[[#This Row],[PROJECT]],ProjectList[],COLUMN(ProjectList[STATUS])-1,FALSE),"")</f>
        <v>Started</v>
      </c>
      <c r="E11" s="3" t="s">
        <v>33</v>
      </c>
      <c r="F11" s="3" t="str">
        <f>IFERROR(VLOOKUP(Tracking[[#This Row],[MEMBER]],TeamList[],COLUMN(TeamList[LEVEL])-1,FALSE),"")</f>
        <v>SE</v>
      </c>
      <c r="G11" s="3" t="str">
        <f>IFERROR(VLOOKUP(Tracking[[#This Row],[MEMBER]],TeamList[],COLUMN(TeamList[LOCATION])-1,FALSE),"")</f>
        <v>Shanghai</v>
      </c>
      <c r="H11" s="3" t="s">
        <v>164</v>
      </c>
      <c r="I11" s="3"/>
      <c r="J11" s="3"/>
      <c r="K11" s="3"/>
    </row>
    <row r="12" spans="2:11" ht="15" customHeight="1">
      <c r="B12" s="3" t="s">
        <v>79</v>
      </c>
      <c r="C12" s="3" t="str">
        <f>IFERROR(VLOOKUP(Tracking[[#This Row],[PROJECT]],ProjectList[],COLUMN(ProjectList[TYPE])-1,FALSE),"")</f>
        <v>External</v>
      </c>
      <c r="D12" s="3" t="str">
        <f>IFERROR(VLOOKUP(Tracking[[#This Row],[PROJECT]],ProjectList[],COLUMN(ProjectList[STATUS])-1,FALSE),"")</f>
        <v>Started</v>
      </c>
      <c r="E12" s="3" t="s">
        <v>9</v>
      </c>
      <c r="F12" s="3" t="str">
        <f>IFERROR(VLOOKUP(Tracking[[#This Row],[MEMBER]],TeamList[],COLUMN(TeamList[LEVEL])-1,FALSE),"")</f>
        <v>SSE</v>
      </c>
      <c r="G12" s="3" t="str">
        <f>IFERROR(VLOOKUP(Tracking[[#This Row],[MEMBER]],TeamList[],COLUMN(TeamList[LOCATION])-1,FALSE),"")</f>
        <v>Shanghai</v>
      </c>
      <c r="H12" s="3" t="s">
        <v>164</v>
      </c>
      <c r="I12" s="3"/>
      <c r="J12" s="3"/>
      <c r="K12" s="3"/>
    </row>
    <row r="13" spans="2:11" ht="15" customHeight="1">
      <c r="B13" s="3" t="s">
        <v>227</v>
      </c>
      <c r="C13" s="3" t="str">
        <f>IFERROR(VLOOKUP(Tracking[[#This Row],[PROJECT]],ProjectList[],COLUMN(ProjectList[TYPE])-1,FALSE),"")</f>
        <v>External</v>
      </c>
      <c r="D13" s="3" t="str">
        <f>IFERROR(VLOOKUP(Tracking[[#This Row],[PROJECT]],ProjectList[],COLUMN(ProjectList[STATUS])-1,FALSE),"")</f>
        <v>Started</v>
      </c>
      <c r="E13" s="3" t="s">
        <v>36</v>
      </c>
      <c r="F13" s="3" t="str">
        <f>IFERROR(VLOOKUP(Tracking[[#This Row],[MEMBER]],TeamList[],COLUMN(TeamList[LEVEL])-1,FALSE),"")</f>
        <v>SE</v>
      </c>
      <c r="G13" s="3" t="str">
        <f>IFERROR(VLOOKUP(Tracking[[#This Row],[MEMBER]],TeamList[],COLUMN(TeamList[LOCATION])-1,FALSE),"")</f>
        <v>Shanghai</v>
      </c>
      <c r="H13" s="3" t="s">
        <v>164</v>
      </c>
      <c r="I13" s="3"/>
      <c r="J13" s="3"/>
      <c r="K13" s="3"/>
    </row>
    <row r="14" spans="2:11" ht="15" customHeight="1">
      <c r="B14" s="3" t="s">
        <v>79</v>
      </c>
      <c r="C14" s="3" t="str">
        <f>IFERROR(VLOOKUP(Tracking[[#This Row],[PROJECT]],ProjectList[],COLUMN(ProjectList[TYPE])-1,FALSE),"")</f>
        <v>External</v>
      </c>
      <c r="D14" s="3" t="str">
        <f>IFERROR(VLOOKUP(Tracking[[#This Row],[PROJECT]],ProjectList[],COLUMN(ProjectList[STATUS])-1,FALSE),"")</f>
        <v>Started</v>
      </c>
      <c r="E14" s="3" t="s">
        <v>34</v>
      </c>
      <c r="F14" s="3" t="str">
        <f>IFERROR(VLOOKUP(Tracking[[#This Row],[MEMBER]],TeamList[],COLUMN(TeamList[LEVEL])-1,FALSE),"")</f>
        <v>SE</v>
      </c>
      <c r="G14" s="3" t="str">
        <f>IFERROR(VLOOKUP(Tracking[[#This Row],[MEMBER]],TeamList[],COLUMN(TeamList[LOCATION])-1,FALSE),"")</f>
        <v>Shanghai</v>
      </c>
      <c r="H14" s="3" t="s">
        <v>164</v>
      </c>
      <c r="I14" s="3"/>
      <c r="J14" s="3"/>
      <c r="K14" s="3"/>
    </row>
    <row r="15" spans="2:11" ht="15" customHeight="1">
      <c r="B15" s="3" t="s">
        <v>79</v>
      </c>
      <c r="C15" s="3" t="str">
        <f>IFERROR(VLOOKUP(Tracking[[#This Row],[PROJECT]],ProjectList[],COLUMN(ProjectList[TYPE])-1,FALSE),"")</f>
        <v>External</v>
      </c>
      <c r="D15" s="3" t="str">
        <f>IFERROR(VLOOKUP(Tracking[[#This Row],[PROJECT]],ProjectList[],COLUMN(ProjectList[STATUS])-1,FALSE),"")</f>
        <v>Started</v>
      </c>
      <c r="E15" s="3" t="s">
        <v>35</v>
      </c>
      <c r="F15" s="3" t="str">
        <f>IFERROR(VLOOKUP(Tracking[[#This Row],[MEMBER]],TeamList[],COLUMN(TeamList[LEVEL])-1,FALSE),"")</f>
        <v>SSE</v>
      </c>
      <c r="G15" s="3" t="str">
        <f>IFERROR(VLOOKUP(Tracking[[#This Row],[MEMBER]],TeamList[],COLUMN(TeamList[LOCATION])-1,FALSE),"")</f>
        <v>Shanghai</v>
      </c>
      <c r="H15" s="3" t="s">
        <v>164</v>
      </c>
      <c r="I15" s="3"/>
      <c r="J15" s="3"/>
      <c r="K15" s="3"/>
    </row>
    <row r="16" spans="2:11" ht="15" customHeight="1">
      <c r="B16" s="3" t="s">
        <v>79</v>
      </c>
      <c r="C16" s="3" t="str">
        <f>IFERROR(VLOOKUP(Tracking[[#This Row],[PROJECT]],ProjectList[],COLUMN(ProjectList[TYPE])-1,FALSE),"")</f>
        <v>External</v>
      </c>
      <c r="D16" s="3" t="str">
        <f>IFERROR(VLOOKUP(Tracking[[#This Row],[PROJECT]],ProjectList[],COLUMN(ProjectList[STATUS])-1,FALSE),"")</f>
        <v>Started</v>
      </c>
      <c r="E16" s="3" t="s">
        <v>10</v>
      </c>
      <c r="F16" s="3" t="str">
        <f>IFERROR(VLOOKUP(Tracking[[#This Row],[MEMBER]],TeamList[],COLUMN(TeamList[LEVEL])-1,FALSE),"")</f>
        <v>SSE</v>
      </c>
      <c r="G16" s="3" t="str">
        <f>IFERROR(VLOOKUP(Tracking[[#This Row],[MEMBER]],TeamList[],COLUMN(TeamList[LOCATION])-1,FALSE),"")</f>
        <v>Shanghai</v>
      </c>
      <c r="H16" s="3" t="s">
        <v>28</v>
      </c>
      <c r="I16" s="3"/>
      <c r="J16" s="3"/>
      <c r="K16" s="3"/>
    </row>
    <row r="17" spans="2:11" ht="15" customHeight="1">
      <c r="B17" s="3" t="s">
        <v>79</v>
      </c>
      <c r="C17" s="3" t="str">
        <f>IFERROR(VLOOKUP(Tracking[[#This Row],[PROJECT]],ProjectList[],COLUMN(ProjectList[TYPE])-1,FALSE),"")</f>
        <v>External</v>
      </c>
      <c r="D17" s="3" t="str">
        <f>IFERROR(VLOOKUP(Tracking[[#This Row],[PROJECT]],ProjectList[],COLUMN(ProjectList[STATUS])-1,FALSE),"")</f>
        <v>Started</v>
      </c>
      <c r="E17" s="3" t="s">
        <v>112</v>
      </c>
      <c r="F17" s="3" t="str">
        <f>IFERROR(VLOOKUP(Tracking[[#This Row],[MEMBER]],TeamList[],COLUMN(TeamList[LEVEL])-1,FALSE),"")</f>
        <v>ASE</v>
      </c>
      <c r="G17" s="3" t="str">
        <f>IFERROR(VLOOKUP(Tracking[[#This Row],[MEMBER]],TeamList[],COLUMN(TeamList[LOCATION])-1,FALSE),"")</f>
        <v>Shanghai</v>
      </c>
      <c r="H17" s="3" t="s">
        <v>28</v>
      </c>
      <c r="I17" s="3"/>
      <c r="J17" s="3"/>
      <c r="K17" s="3"/>
    </row>
    <row r="18" spans="2:11" ht="15" customHeight="1">
      <c r="B18" s="3" t="s">
        <v>79</v>
      </c>
      <c r="C18" s="3" t="str">
        <f>IFERROR(VLOOKUP(Tracking[[#This Row],[PROJECT]],ProjectList[],COLUMN(ProjectList[TYPE])-1,FALSE),"")</f>
        <v>External</v>
      </c>
      <c r="D18" s="3" t="str">
        <f>IFERROR(VLOOKUP(Tracking[[#This Row],[PROJECT]],ProjectList[],COLUMN(ProjectList[STATUS])-1,FALSE),"")</f>
        <v>Started</v>
      </c>
      <c r="E18" s="3" t="s">
        <v>11</v>
      </c>
      <c r="F18" s="3" t="str">
        <f>IFERROR(VLOOKUP(Tracking[[#This Row],[MEMBER]],TeamList[],COLUMN(TeamList[LEVEL])-1,FALSE),"")</f>
        <v>ASE</v>
      </c>
      <c r="G18" s="3" t="str">
        <f>IFERROR(VLOOKUP(Tracking[[#This Row],[MEMBER]],TeamList[],COLUMN(TeamList[LOCATION])-1,FALSE),"")</f>
        <v>Shanghai</v>
      </c>
      <c r="H18" s="3" t="s">
        <v>164</v>
      </c>
      <c r="I18" s="3"/>
      <c r="J18" s="3"/>
      <c r="K18" s="3"/>
    </row>
    <row r="19" spans="2:11" ht="15" customHeight="1">
      <c r="B19" s="3" t="s">
        <v>79</v>
      </c>
      <c r="C19" s="3" t="str">
        <f>IFERROR(VLOOKUP(Tracking[[#This Row],[PROJECT]],ProjectList[],COLUMN(ProjectList[TYPE])-1,FALSE),"")</f>
        <v>External</v>
      </c>
      <c r="D19" s="3" t="str">
        <f>IFERROR(VLOOKUP(Tracking[[#This Row],[PROJECT]],ProjectList[],COLUMN(ProjectList[STATUS])-1,FALSE),"")</f>
        <v>Started</v>
      </c>
      <c r="E19" s="3" t="s">
        <v>2</v>
      </c>
      <c r="F19" s="3" t="str">
        <f>IFERROR(VLOOKUP(Tracking[[#This Row],[MEMBER]],TeamList[],COLUMN(TeamList[LEVEL])-1,FALSE),"")</f>
        <v>AM</v>
      </c>
      <c r="G19" s="3" t="str">
        <f>IFERROR(VLOOKUP(Tracking[[#This Row],[MEMBER]],TeamList[],COLUMN(TeamList[LOCATION])-1,FALSE),"")</f>
        <v>Shanghai</v>
      </c>
      <c r="H19" s="3" t="s">
        <v>2</v>
      </c>
      <c r="I19" s="3"/>
      <c r="J19" s="3"/>
      <c r="K19" s="3"/>
    </row>
    <row r="20" spans="2:11" ht="15" customHeight="1">
      <c r="B20" s="3" t="s">
        <v>86</v>
      </c>
      <c r="C20" s="3" t="str">
        <f>IFERROR(VLOOKUP(Tracking[[#This Row],[PROJECT]],ProjectList[],COLUMN(ProjectList[TYPE])-1,FALSE),"")</f>
        <v>External</v>
      </c>
      <c r="D20" s="3" t="str">
        <f>IFERROR(VLOOKUP(Tracking[[#This Row],[PROJECT]],ProjectList[],COLUMN(ProjectList[STATUS])-1,FALSE),"")</f>
        <v>Started</v>
      </c>
      <c r="E20" s="3" t="s">
        <v>29</v>
      </c>
      <c r="F20" s="3" t="str">
        <f>IFERROR(VLOOKUP(Tracking[[#This Row],[MEMBER]],TeamList[],COLUMN(TeamList[LEVEL])-1,FALSE),"")</f>
        <v>TL</v>
      </c>
      <c r="G20" s="3" t="str">
        <f>IFERROR(VLOOKUP(Tracking[[#This Row],[MEMBER]],TeamList[],COLUMN(TeamList[LOCATION])-1,FALSE),"")</f>
        <v>Shanghai</v>
      </c>
      <c r="H20" s="3" t="s">
        <v>29</v>
      </c>
      <c r="I20" s="3"/>
      <c r="J20" s="47">
        <v>42454</v>
      </c>
      <c r="K20" s="3"/>
    </row>
    <row r="21" spans="2:11" ht="15" customHeight="1">
      <c r="B21" s="3" t="s">
        <v>228</v>
      </c>
      <c r="C21" s="3" t="str">
        <f>IFERROR(VLOOKUP(Tracking[[#This Row],[PROJECT]],ProjectList[],COLUMN(ProjectList[TYPE])-1,FALSE),"")</f>
        <v>External</v>
      </c>
      <c r="D21" s="3" t="str">
        <f>IFERROR(VLOOKUP(Tracking[[#This Row],[PROJECT]],ProjectList[],COLUMN(ProjectList[STATUS])-1,FALSE),"")</f>
        <v>Started</v>
      </c>
      <c r="E21" s="3" t="s">
        <v>30</v>
      </c>
      <c r="F21" s="3" t="str">
        <f>IFERROR(VLOOKUP(Tracking[[#This Row],[MEMBER]],TeamList[],COLUMN(TeamList[LEVEL])-1,FALSE),"")</f>
        <v>SE</v>
      </c>
      <c r="G21" s="3" t="str">
        <f>IFERROR(VLOOKUP(Tracking[[#This Row],[MEMBER]],TeamList[],COLUMN(TeamList[LOCATION])-1,FALSE),"")</f>
        <v>Shanghai</v>
      </c>
      <c r="H21" s="3" t="s">
        <v>29</v>
      </c>
      <c r="I21" s="3"/>
      <c r="J21" s="47">
        <v>42454</v>
      </c>
      <c r="K21" s="3"/>
    </row>
    <row r="22" spans="2:11" ht="15" customHeight="1">
      <c r="B22" s="3" t="s">
        <v>86</v>
      </c>
      <c r="C22" s="3" t="str">
        <f>IFERROR(VLOOKUP(Tracking[[#This Row],[PROJECT]],ProjectList[],COLUMN(ProjectList[TYPE])-1,FALSE),"")</f>
        <v>External</v>
      </c>
      <c r="D22" s="3" t="str">
        <f>IFERROR(VLOOKUP(Tracking[[#This Row],[PROJECT]],ProjectList[],COLUMN(ProjectList[STATUS])-1,FALSE),"")</f>
        <v>Started</v>
      </c>
      <c r="E22" s="3" t="s">
        <v>14</v>
      </c>
      <c r="F22" s="3" t="str">
        <f>IFERROR(VLOOKUP(Tracking[[#This Row],[MEMBER]],TeamList[],COLUMN(TeamList[LEVEL])-1,FALSE),"")</f>
        <v>SE</v>
      </c>
      <c r="G22" s="3" t="str">
        <f>IFERROR(VLOOKUP(Tracking[[#This Row],[MEMBER]],TeamList[],COLUMN(TeamList[LOCATION])-1,FALSE),"")</f>
        <v>Shanghai</v>
      </c>
      <c r="H22" s="3" t="s">
        <v>29</v>
      </c>
      <c r="I22" s="3"/>
      <c r="J22" s="3"/>
      <c r="K22" s="3"/>
    </row>
    <row r="23" spans="2:11" ht="15" customHeight="1">
      <c r="B23" s="3" t="s">
        <v>86</v>
      </c>
      <c r="C23" s="3" t="str">
        <f>IFERROR(VLOOKUP(Tracking[[#This Row],[PROJECT]],ProjectList[],COLUMN(ProjectList[TYPE])-1,FALSE),"")</f>
        <v>External</v>
      </c>
      <c r="D23" s="3" t="str">
        <f>IFERROR(VLOOKUP(Tracking[[#This Row],[PROJECT]],ProjectList[],COLUMN(ProjectList[STATUS])-1,FALSE),"")</f>
        <v>Started</v>
      </c>
      <c r="E23" s="3" t="s">
        <v>16</v>
      </c>
      <c r="F23" s="3" t="str">
        <f>IFERROR(VLOOKUP(Tracking[[#This Row],[MEMBER]],TeamList[],COLUMN(TeamList[LEVEL])-1,FALSE),"")</f>
        <v>ASE</v>
      </c>
      <c r="G23" s="3" t="str">
        <f>IFERROR(VLOOKUP(Tracking[[#This Row],[MEMBER]],TeamList[],COLUMN(TeamList[LOCATION])-1,FALSE),"")</f>
        <v>Shanghai</v>
      </c>
      <c r="H23" s="3" t="s">
        <v>29</v>
      </c>
      <c r="I23" s="3"/>
      <c r="J23" s="3"/>
      <c r="K23" s="3"/>
    </row>
    <row r="24" spans="2:11" ht="15" customHeight="1">
      <c r="B24" s="3" t="s">
        <v>230</v>
      </c>
      <c r="C24" s="3" t="str">
        <f>IFERROR(VLOOKUP(Tracking[[#This Row],[PROJECT]],ProjectList[],COLUMN(ProjectList[TYPE])-1,FALSE),"")</f>
        <v>External</v>
      </c>
      <c r="D24" s="3" t="str">
        <f>IFERROR(VLOOKUP(Tracking[[#This Row],[PROJECT]],ProjectList[],COLUMN(ProjectList[STATUS])-1,FALSE),"")</f>
        <v>Started</v>
      </c>
      <c r="E24" s="3" t="s">
        <v>147</v>
      </c>
      <c r="F24" s="3" t="str">
        <f>IFERROR(VLOOKUP(Tracking[[#This Row],[MEMBER]],TeamList[],COLUMN(TeamList[LEVEL])-1,FALSE),"")</f>
        <v>SE</v>
      </c>
      <c r="G24" s="3" t="str">
        <f>IFERROR(VLOOKUP(Tracking[[#This Row],[MEMBER]],TeamList[],COLUMN(TeamList[LOCATION])-1,FALSE),"")</f>
        <v>GuangZhou</v>
      </c>
      <c r="H24" s="3" t="s">
        <v>146</v>
      </c>
      <c r="I24" s="3"/>
      <c r="J24" s="47">
        <v>42447</v>
      </c>
      <c r="K24" s="3"/>
    </row>
    <row r="25" spans="2:11" ht="15" customHeight="1">
      <c r="B25" s="3" t="s">
        <v>87</v>
      </c>
      <c r="C25" s="3" t="str">
        <f>IFERROR(VLOOKUP(Tracking[[#This Row],[PROJECT]],ProjectList[],COLUMN(ProjectList[TYPE])-1,FALSE),"")</f>
        <v>Internal</v>
      </c>
      <c r="D25" s="3" t="str">
        <f>IFERROR(VLOOKUP(Tracking[[#This Row],[PROJECT]],ProjectList[],COLUMN(ProjectList[STATUS])-1,FALSE),"")</f>
        <v>Started</v>
      </c>
      <c r="E25" s="3" t="s">
        <v>13</v>
      </c>
      <c r="F25" s="3" t="str">
        <f>IFERROR(VLOOKUP(Tracking[[#This Row],[MEMBER]],TeamList[],COLUMN(TeamList[LEVEL])-1,FALSE),"")</f>
        <v>SE</v>
      </c>
      <c r="G25" s="3" t="str">
        <f>IFERROR(VLOOKUP(Tracking[[#This Row],[MEMBER]],TeamList[],COLUMN(TeamList[LOCATION])-1,FALSE),"")</f>
        <v>Shanghai</v>
      </c>
      <c r="H25" s="3" t="s">
        <v>29</v>
      </c>
      <c r="I25" s="3"/>
      <c r="J25" s="3"/>
      <c r="K25" s="3"/>
    </row>
    <row r="26" spans="2:11" ht="15" customHeight="1">
      <c r="B26" s="3" t="s">
        <v>92</v>
      </c>
      <c r="C26" s="3" t="str">
        <f>IFERROR(VLOOKUP(Tracking[[#This Row],[PROJECT]],ProjectList[],COLUMN(ProjectList[TYPE])-1,FALSE),"")</f>
        <v>External</v>
      </c>
      <c r="D26" s="3" t="str">
        <f>IFERROR(VLOOKUP(Tracking[[#This Row],[PROJECT]],ProjectList[],COLUMN(ProjectList[STATUS])-1,FALSE),"")</f>
        <v>Started</v>
      </c>
      <c r="E26" s="3" t="s">
        <v>26</v>
      </c>
      <c r="F26" s="3" t="str">
        <f>IFERROR(VLOOKUP(Tracking[[#This Row],[MEMBER]],TeamList[],COLUMN(TeamList[LEVEL])-1,FALSE),"")</f>
        <v>SSE</v>
      </c>
      <c r="G26" s="3" t="str">
        <f>IFERROR(VLOOKUP(Tracking[[#This Row],[MEMBER]],TeamList[],COLUMN(TeamList[LOCATION])-1,FALSE),"")</f>
        <v>Shanghai</v>
      </c>
      <c r="H26" s="3" t="s">
        <v>26</v>
      </c>
      <c r="I26" s="3"/>
      <c r="J26" s="3"/>
      <c r="K26" s="3"/>
    </row>
    <row r="27" spans="2:11" ht="15" customHeight="1">
      <c r="B27" s="3" t="s">
        <v>92</v>
      </c>
      <c r="C27" s="3" t="str">
        <f>IFERROR(VLOOKUP(Tracking[[#This Row],[PROJECT]],ProjectList[],COLUMN(ProjectList[TYPE])-1,FALSE),"")</f>
        <v>External</v>
      </c>
      <c r="D27" s="3" t="str">
        <f>IFERROR(VLOOKUP(Tracking[[#This Row],[PROJECT]],ProjectList[],COLUMN(ProjectList[STATUS])-1,FALSE),"")</f>
        <v>Started</v>
      </c>
      <c r="E27" s="3" t="s">
        <v>20</v>
      </c>
      <c r="F27" s="3" t="str">
        <f>IFERROR(VLOOKUP(Tracking[[#This Row],[MEMBER]],TeamList[],COLUMN(TeamList[LEVEL])-1,FALSE),"")</f>
        <v>SSE</v>
      </c>
      <c r="G27" s="3" t="str">
        <f>IFERROR(VLOOKUP(Tracking[[#This Row],[MEMBER]],TeamList[],COLUMN(TeamList[LOCATION])-1,FALSE),"")</f>
        <v>Shanghai</v>
      </c>
      <c r="H27" s="3" t="s">
        <v>26</v>
      </c>
      <c r="I27" s="3"/>
      <c r="J27" s="3"/>
      <c r="K27" s="3"/>
    </row>
    <row r="28" spans="2:11" ht="15" customHeight="1">
      <c r="B28" s="3" t="s">
        <v>92</v>
      </c>
      <c r="C28" s="3" t="str">
        <f>IFERROR(VLOOKUP(Tracking[[#This Row],[PROJECT]],ProjectList[],COLUMN(ProjectList[TYPE])-1,FALSE),"")</f>
        <v>External</v>
      </c>
      <c r="D28" s="3" t="str">
        <f>IFERROR(VLOOKUP(Tracking[[#This Row],[PROJECT]],ProjectList[],COLUMN(ProjectList[STATUS])-1,FALSE),"")</f>
        <v>Started</v>
      </c>
      <c r="E28" s="3" t="s">
        <v>24</v>
      </c>
      <c r="F28" s="3" t="str">
        <f>IFERROR(VLOOKUP(Tracking[[#This Row],[MEMBER]],TeamList[],COLUMN(TeamList[LEVEL])-1,FALSE),"")</f>
        <v>ASE</v>
      </c>
      <c r="G28" s="3" t="str">
        <f>IFERROR(VLOOKUP(Tracking[[#This Row],[MEMBER]],TeamList[],COLUMN(TeamList[LOCATION])-1,FALSE),"")</f>
        <v>Shanghai</v>
      </c>
      <c r="H28" s="3" t="s">
        <v>26</v>
      </c>
      <c r="I28" s="3"/>
      <c r="J28" s="3"/>
      <c r="K28" s="3"/>
    </row>
    <row r="29" spans="2:11" ht="15" customHeight="1">
      <c r="B29" s="3" t="s">
        <v>231</v>
      </c>
      <c r="C29" s="3" t="str">
        <f>IFERROR(VLOOKUP(Tracking[[#This Row],[PROJECT]],ProjectList[],COLUMN(ProjectList[TYPE])-1,FALSE),"")</f>
        <v>External</v>
      </c>
      <c r="D29" s="3" t="str">
        <f>IFERROR(VLOOKUP(Tracking[[#This Row],[PROJECT]],ProjectList[],COLUMN(ProjectList[STATUS])-1,FALSE),"")</f>
        <v>Started</v>
      </c>
      <c r="E29" s="3" t="s">
        <v>19</v>
      </c>
      <c r="F29" s="3" t="str">
        <f>IFERROR(VLOOKUP(Tracking[[#This Row],[MEMBER]],TeamList[],COLUMN(TeamList[LEVEL])-1,FALSE),"")</f>
        <v>SSE</v>
      </c>
      <c r="G29" s="3" t="str">
        <f>IFERROR(VLOOKUP(Tracking[[#This Row],[MEMBER]],TeamList[],COLUMN(TeamList[LOCATION])-1,FALSE),"")</f>
        <v>Shanghai</v>
      </c>
      <c r="H29" s="3" t="s">
        <v>164</v>
      </c>
      <c r="I29" s="3"/>
      <c r="J29" s="3"/>
      <c r="K29" s="3"/>
    </row>
    <row r="30" spans="2:11" ht="15" customHeight="1">
      <c r="B30" s="3" t="s">
        <v>93</v>
      </c>
      <c r="C30" s="3" t="str">
        <f>IFERROR(VLOOKUP(Tracking[[#This Row],[PROJECT]],ProjectList[],COLUMN(ProjectList[TYPE])-1,FALSE),"")</f>
        <v>External</v>
      </c>
      <c r="D30" s="3" t="str">
        <f>IFERROR(VLOOKUP(Tracking[[#This Row],[PROJECT]],ProjectList[],COLUMN(ProjectList[STATUS])-1,FALSE),"")</f>
        <v>Started</v>
      </c>
      <c r="E30" s="3" t="s">
        <v>160</v>
      </c>
      <c r="F30" s="3" t="str">
        <f>IFERROR(VLOOKUP(Tracking[[#This Row],[MEMBER]],TeamList[],COLUMN(TeamList[LEVEL])-1,FALSE),"")</f>
        <v>SE</v>
      </c>
      <c r="G30" s="3" t="str">
        <f>IFERROR(VLOOKUP(Tracking[[#This Row],[MEMBER]],TeamList[],COLUMN(TeamList[LOCATION])-1,FALSE),"")</f>
        <v>GuangZhou</v>
      </c>
      <c r="H30" s="3" t="s">
        <v>146</v>
      </c>
      <c r="I30" s="3"/>
      <c r="J30" s="47">
        <v>42521</v>
      </c>
      <c r="K30" s="3"/>
    </row>
    <row r="31" spans="2:11" ht="15" customHeight="1">
      <c r="B31" s="3" t="s">
        <v>95</v>
      </c>
      <c r="C31" s="3" t="str">
        <f>IFERROR(VLOOKUP(Tracking[[#This Row],[PROJECT]],ProjectList[],COLUMN(ProjectList[TYPE])-1,FALSE),"")</f>
        <v>Internal</v>
      </c>
      <c r="D31" s="3" t="str">
        <f>IFERROR(VLOOKUP(Tracking[[#This Row],[PROJECT]],ProjectList[],COLUMN(ProjectList[STATUS])-1,FALSE),"")</f>
        <v>Started</v>
      </c>
      <c r="E31" s="3" t="s">
        <v>18</v>
      </c>
      <c r="F31" s="3" t="str">
        <f>IFERROR(VLOOKUP(Tracking[[#This Row],[MEMBER]],TeamList[],COLUMN(TeamList[LEVEL])-1,FALSE),"")</f>
        <v>ASE</v>
      </c>
      <c r="G31" s="3" t="str">
        <f>IFERROR(VLOOKUP(Tracking[[#This Row],[MEMBER]],TeamList[],COLUMN(TeamList[LOCATION])-1,FALSE),"")</f>
        <v>Shanghai</v>
      </c>
      <c r="H31" s="3" t="s">
        <v>28</v>
      </c>
      <c r="I31" s="3"/>
      <c r="J31" s="3"/>
      <c r="K31" s="3"/>
    </row>
    <row r="32" spans="2:11" ht="15" customHeight="1">
      <c r="B32" s="3" t="s">
        <v>97</v>
      </c>
      <c r="C32" s="3" t="str">
        <f>IFERROR(VLOOKUP(Tracking[[#This Row],[PROJECT]],ProjectList[],COLUMN(ProjectList[TYPE])-1,FALSE),"")</f>
        <v>External</v>
      </c>
      <c r="D32" s="3" t="str">
        <f>IFERROR(VLOOKUP(Tracking[[#This Row],[PROJECT]],ProjectList[],COLUMN(ProjectList[STATUS])-1,FALSE),"")</f>
        <v>Started</v>
      </c>
      <c r="E32" s="3" t="s">
        <v>23</v>
      </c>
      <c r="F32" s="3" t="str">
        <f>IFERROR(VLOOKUP(Tracking[[#This Row],[MEMBER]],TeamList[],COLUMN(TeamList[LEVEL])-1,FALSE),"")</f>
        <v>ASE</v>
      </c>
      <c r="G32" s="3" t="str">
        <f>IFERROR(VLOOKUP(Tracking[[#This Row],[MEMBER]],TeamList[],COLUMN(TeamList[LOCATION])-1,FALSE),"")</f>
        <v>Shanghai</v>
      </c>
      <c r="H32" s="3" t="s">
        <v>28</v>
      </c>
      <c r="I32" s="3"/>
      <c r="J32" s="3"/>
      <c r="K32" s="3"/>
    </row>
    <row r="33" spans="2:11" ht="15" customHeight="1">
      <c r="B33" s="3" t="s">
        <v>101</v>
      </c>
      <c r="C33" s="3" t="str">
        <f>IFERROR(VLOOKUP(Tracking[[#This Row],[PROJECT]],ProjectList[],COLUMN(ProjectList[TYPE])-1,FALSE),"")</f>
        <v>External</v>
      </c>
      <c r="D33" s="3" t="str">
        <f>IFERROR(VLOOKUP(Tracking[[#This Row],[PROJECT]],ProjectList[],COLUMN(ProjectList[STATUS])-1,FALSE),"")</f>
        <v>Started</v>
      </c>
      <c r="E33" s="3" t="s">
        <v>116</v>
      </c>
      <c r="F33" s="3" t="str">
        <f>IFERROR(VLOOKUP(Tracking[[#This Row],[MEMBER]],TeamList[],COLUMN(TeamList[LEVEL])-1,FALSE),"")</f>
        <v>SSE</v>
      </c>
      <c r="G33" s="3" t="str">
        <f>IFERROR(VLOOKUP(Tracking[[#This Row],[MEMBER]],TeamList[],COLUMN(TeamList[LOCATION])-1,FALSE),"")</f>
        <v>DaLian</v>
      </c>
      <c r="H33" s="3" t="s">
        <v>120</v>
      </c>
      <c r="I33" s="3"/>
      <c r="J33" s="3"/>
      <c r="K33" s="3"/>
    </row>
    <row r="34" spans="2:11" ht="15" customHeight="1">
      <c r="B34" s="3" t="s">
        <v>103</v>
      </c>
      <c r="C34" s="3" t="str">
        <f>IFERROR(VLOOKUP(Tracking[[#This Row],[PROJECT]],ProjectList[],COLUMN(ProjectList[TYPE])-1,FALSE),"")</f>
        <v>Internal</v>
      </c>
      <c r="D34" s="3" t="str">
        <f>IFERROR(VLOOKUP(Tracking[[#This Row],[PROJECT]],ProjectList[],COLUMN(ProjectList[STATUS])-1,FALSE),"")</f>
        <v>Started</v>
      </c>
      <c r="E34" s="3" t="s">
        <v>117</v>
      </c>
      <c r="F34" s="3" t="str">
        <f>IFERROR(VLOOKUP(Tracking[[#This Row],[MEMBER]],TeamList[],COLUMN(TeamList[LEVEL])-1,FALSE),"")</f>
        <v>SSE</v>
      </c>
      <c r="G34" s="3" t="str">
        <f>IFERROR(VLOOKUP(Tracking[[#This Row],[MEMBER]],TeamList[],COLUMN(TeamList[LOCATION])-1,FALSE),"")</f>
        <v>DaLian</v>
      </c>
      <c r="H34" s="3"/>
      <c r="I34" s="3"/>
      <c r="J34" s="3"/>
      <c r="K34" s="3"/>
    </row>
    <row r="35" spans="2:11" ht="15" customHeight="1">
      <c r="B35" s="3" t="s">
        <v>103</v>
      </c>
      <c r="C35" s="3" t="str">
        <f>IFERROR(VLOOKUP(Tracking[[#This Row],[PROJECT]],ProjectList[],COLUMN(ProjectList[TYPE])-1,FALSE),"")</f>
        <v>Internal</v>
      </c>
      <c r="D35" s="3" t="str">
        <f>IFERROR(VLOOKUP(Tracking[[#This Row],[PROJECT]],ProjectList[],COLUMN(ProjectList[STATUS])-1,FALSE),"")</f>
        <v>Started</v>
      </c>
      <c r="E35" s="3" t="s">
        <v>118</v>
      </c>
      <c r="F35" s="3" t="str">
        <f>IFERROR(VLOOKUP(Tracking[[#This Row],[MEMBER]],TeamList[],COLUMN(TeamList[LEVEL])-1,FALSE),"")</f>
        <v>TL</v>
      </c>
      <c r="G35" s="3" t="str">
        <f>IFERROR(VLOOKUP(Tracking[[#This Row],[MEMBER]],TeamList[],COLUMN(TeamList[LOCATION])-1,FALSE),"")</f>
        <v>DaLian</v>
      </c>
      <c r="H35" s="3"/>
      <c r="I35" s="3"/>
      <c r="J35" s="3"/>
      <c r="K35" s="3"/>
    </row>
    <row r="36" spans="2:11" ht="15" customHeight="1">
      <c r="B36" s="3" t="s">
        <v>103</v>
      </c>
      <c r="C36" s="3" t="str">
        <f>IFERROR(VLOOKUP(Tracking[[#This Row],[PROJECT]],ProjectList[],COLUMN(ProjectList[TYPE])-1,FALSE),"")</f>
        <v>Internal</v>
      </c>
      <c r="D36" s="3" t="str">
        <f>IFERROR(VLOOKUP(Tracking[[#This Row],[PROJECT]],ProjectList[],COLUMN(ProjectList[STATUS])-1,FALSE),"")</f>
        <v>Started</v>
      </c>
      <c r="E36" s="3" t="s">
        <v>119</v>
      </c>
      <c r="F36" s="3" t="str">
        <f>IFERROR(VLOOKUP(Tracking[[#This Row],[MEMBER]],TeamList[],COLUMN(TeamList[LEVEL])-1,FALSE),"")</f>
        <v>SSE</v>
      </c>
      <c r="G36" s="3" t="str">
        <f>IFERROR(VLOOKUP(Tracking[[#This Row],[MEMBER]],TeamList[],COLUMN(TeamList[LOCATION])-1,FALSE),"")</f>
        <v>DaLian</v>
      </c>
      <c r="H36" s="3" t="s">
        <v>120</v>
      </c>
      <c r="I36" s="3"/>
      <c r="J36" s="3"/>
      <c r="K36" s="3"/>
    </row>
    <row r="37" spans="2:11" ht="15" customHeight="1">
      <c r="B37" s="3" t="s">
        <v>105</v>
      </c>
      <c r="C37" s="3" t="str">
        <f>IFERROR(VLOOKUP(Tracking[[#This Row],[PROJECT]],ProjectList[],COLUMN(ProjectList[TYPE])-1,FALSE),"")</f>
        <v>External</v>
      </c>
      <c r="D37" s="3" t="str">
        <f>IFERROR(VLOOKUP(Tracking[[#This Row],[PROJECT]],ProjectList[],COLUMN(ProjectList[STATUS])-1,FALSE),"")</f>
        <v>Started</v>
      </c>
      <c r="E37" s="3" t="s">
        <v>152</v>
      </c>
      <c r="F37" s="3" t="str">
        <f>IFERROR(VLOOKUP(Tracking[[#This Row],[MEMBER]],TeamList[],COLUMN(TeamList[LEVEL])-1,FALSE),"")</f>
        <v>SSE</v>
      </c>
      <c r="G37" s="3" t="str">
        <f>IFERROR(VLOOKUP(Tracking[[#This Row],[MEMBER]],TeamList[],COLUMN(TeamList[LOCATION])-1,FALSE),"")</f>
        <v>GuangZhou</v>
      </c>
      <c r="H37" s="3" t="s">
        <v>146</v>
      </c>
      <c r="I37" s="3"/>
      <c r="J37" s="3"/>
      <c r="K37" s="3"/>
    </row>
    <row r="38" spans="2:11" ht="15" customHeight="1">
      <c r="B38" s="3" t="s">
        <v>107</v>
      </c>
      <c r="C38" s="3" t="str">
        <f>IFERROR(VLOOKUP(Tracking[[#This Row],[PROJECT]],ProjectList[],COLUMN(ProjectList[TYPE])-1,FALSE),"")</f>
        <v>Internal</v>
      </c>
      <c r="D38" s="3" t="str">
        <f>IFERROR(VLOOKUP(Tracking[[#This Row],[PROJECT]],ProjectList[],COLUMN(ProjectList[STATUS])-1,FALSE),"")</f>
        <v>Started</v>
      </c>
      <c r="E38" s="3" t="s">
        <v>120</v>
      </c>
      <c r="F38" s="3" t="str">
        <f>IFERROR(VLOOKUP(Tracking[[#This Row],[MEMBER]],TeamList[],COLUMN(TeamList[LEVEL])-1,FALSE),"")</f>
        <v>AM</v>
      </c>
      <c r="G38" s="3" t="str">
        <f>IFERROR(VLOOKUP(Tracking[[#This Row],[MEMBER]],TeamList[],COLUMN(TeamList[LOCATION])-1,FALSE),"")</f>
        <v>DaLian</v>
      </c>
      <c r="H38" s="3" t="s">
        <v>120</v>
      </c>
      <c r="I38" s="3"/>
      <c r="J38" s="3"/>
      <c r="K38" s="3"/>
    </row>
    <row r="39" spans="2:11" ht="15" customHeight="1">
      <c r="B39" s="3" t="s">
        <v>107</v>
      </c>
      <c r="C39" s="3" t="str">
        <f>IFERROR(VLOOKUP(Tracking[[#This Row],[PROJECT]],ProjectList[],COLUMN(ProjectList[TYPE])-1,FALSE),"")</f>
        <v>Internal</v>
      </c>
      <c r="D39" s="3" t="str">
        <f>IFERROR(VLOOKUP(Tracking[[#This Row],[PROJECT]],ProjectList[],COLUMN(ProjectList[STATUS])-1,FALSE),"")</f>
        <v>Started</v>
      </c>
      <c r="E39" s="3" t="s">
        <v>121</v>
      </c>
      <c r="F39" s="3" t="str">
        <f>IFERROR(VLOOKUP(Tracking[[#This Row],[MEMBER]],TeamList[],COLUMN(TeamList[LEVEL])-1,FALSE),"")</f>
        <v>SSE</v>
      </c>
      <c r="G39" s="3" t="str">
        <f>IFERROR(VLOOKUP(Tracking[[#This Row],[MEMBER]],TeamList[],COLUMN(TeamList[LOCATION])-1,FALSE),"")</f>
        <v>DaLian</v>
      </c>
      <c r="H39" s="3" t="s">
        <v>120</v>
      </c>
      <c r="I39" s="3"/>
      <c r="J39" s="3"/>
      <c r="K39" s="3"/>
    </row>
    <row r="40" spans="2:11" ht="15" customHeight="1">
      <c r="B40" s="3" t="s">
        <v>107</v>
      </c>
      <c r="C40" s="3" t="str">
        <f>IFERROR(VLOOKUP(Tracking[[#This Row],[PROJECT]],ProjectList[],COLUMN(ProjectList[TYPE])-1,FALSE),"")</f>
        <v>Internal</v>
      </c>
      <c r="D40" s="3" t="str">
        <f>IFERROR(VLOOKUP(Tracking[[#This Row],[PROJECT]],ProjectList[],COLUMN(ProjectList[STATUS])-1,FALSE),"")</f>
        <v>Started</v>
      </c>
      <c r="E40" s="3" t="s">
        <v>122</v>
      </c>
      <c r="F40" s="3" t="str">
        <f>IFERROR(VLOOKUP(Tracking[[#This Row],[MEMBER]],TeamList[],COLUMN(TeamList[LEVEL])-1,FALSE),"")</f>
        <v>SSE</v>
      </c>
      <c r="G40" s="3" t="str">
        <f>IFERROR(VLOOKUP(Tracking[[#This Row],[MEMBER]],TeamList[],COLUMN(TeamList[LOCATION])-1,FALSE),"")</f>
        <v>DaLian</v>
      </c>
      <c r="H40" s="3" t="s">
        <v>120</v>
      </c>
      <c r="I40" s="3"/>
      <c r="J40" s="3"/>
      <c r="K40" s="3"/>
    </row>
    <row r="41" spans="2:11" ht="15" customHeight="1">
      <c r="B41" s="3" t="s">
        <v>107</v>
      </c>
      <c r="C41" s="3" t="str">
        <f>IFERROR(VLOOKUP(Tracking[[#This Row],[PROJECT]],ProjectList[],COLUMN(ProjectList[TYPE])-1,FALSE),"")</f>
        <v>Internal</v>
      </c>
      <c r="D41" s="3" t="str">
        <f>IFERROR(VLOOKUP(Tracking[[#This Row],[PROJECT]],ProjectList[],COLUMN(ProjectList[STATUS])-1,FALSE),"")</f>
        <v>Started</v>
      </c>
      <c r="E41" s="3" t="s">
        <v>123</v>
      </c>
      <c r="F41" s="3" t="str">
        <f>IFERROR(VLOOKUP(Tracking[[#This Row],[MEMBER]],TeamList[],COLUMN(TeamList[LEVEL])-1,FALSE),"")</f>
        <v>SE</v>
      </c>
      <c r="G41" s="3" t="str">
        <f>IFERROR(VLOOKUP(Tracking[[#This Row],[MEMBER]],TeamList[],COLUMN(TeamList[LOCATION])-1,FALSE),"")</f>
        <v>DaLian</v>
      </c>
      <c r="H41" s="3" t="s">
        <v>120</v>
      </c>
      <c r="I41" s="3"/>
      <c r="J41" s="3"/>
      <c r="K41" s="3"/>
    </row>
    <row r="42" spans="2:11" ht="15" customHeight="1">
      <c r="B42" s="3" t="s">
        <v>108</v>
      </c>
      <c r="C42" s="3" t="str">
        <f>IFERROR(VLOOKUP(Tracking[[#This Row],[PROJECT]],ProjectList[],COLUMN(ProjectList[TYPE])-1,FALSE),"")</f>
        <v>External</v>
      </c>
      <c r="D42" s="3" t="str">
        <f>IFERROR(VLOOKUP(Tracking[[#This Row],[PROJECT]],ProjectList[],COLUMN(ProjectList[STATUS])-1,FALSE),"")</f>
        <v>Started</v>
      </c>
      <c r="E42" s="3" t="s">
        <v>124</v>
      </c>
      <c r="F42" s="3" t="str">
        <f>IFERROR(VLOOKUP(Tracking[[#This Row],[MEMBER]],TeamList[],COLUMN(TeamList[LEVEL])-1,FALSE),"")</f>
        <v>ASE</v>
      </c>
      <c r="G42" s="3" t="str">
        <f>IFERROR(VLOOKUP(Tracking[[#This Row],[MEMBER]],TeamList[],COLUMN(TeamList[LOCATION])-1,FALSE),"")</f>
        <v>DaLian</v>
      </c>
      <c r="H42" s="3" t="s">
        <v>120</v>
      </c>
      <c r="I42" s="3"/>
      <c r="J42" s="3"/>
      <c r="K42" s="3"/>
    </row>
    <row r="43" spans="2:11" ht="15" customHeight="1">
      <c r="B43" s="3" t="s">
        <v>108</v>
      </c>
      <c r="C43" s="3" t="str">
        <f>IFERROR(VLOOKUP(Tracking[[#This Row],[PROJECT]],ProjectList[],COLUMN(ProjectList[TYPE])-1,FALSE),"")</f>
        <v>External</v>
      </c>
      <c r="D43" s="3" t="str">
        <f>IFERROR(VLOOKUP(Tracking[[#This Row],[PROJECT]],ProjectList[],COLUMN(ProjectList[STATUS])-1,FALSE),"")</f>
        <v>Started</v>
      </c>
      <c r="E43" s="3" t="s">
        <v>130</v>
      </c>
      <c r="F43" s="3" t="str">
        <f>IFERROR(VLOOKUP(Tracking[[#This Row],[MEMBER]],TeamList[],COLUMN(TeamList[LEVEL])-1,FALSE),"")</f>
        <v>ASE</v>
      </c>
      <c r="G43" s="3" t="str">
        <f>IFERROR(VLOOKUP(Tracking[[#This Row],[MEMBER]],TeamList[],COLUMN(TeamList[LOCATION])-1,FALSE),"")</f>
        <v>DaLian</v>
      </c>
      <c r="H43" s="3" t="s">
        <v>120</v>
      </c>
      <c r="I43" s="3"/>
      <c r="J43" s="3"/>
      <c r="K43" s="3"/>
    </row>
    <row r="44" spans="2:11" ht="15" customHeight="1">
      <c r="B44" s="3" t="s">
        <v>234</v>
      </c>
      <c r="C44" s="3" t="str">
        <f>IFERROR(VLOOKUP(Tracking[[#This Row],[PROJECT]],ProjectList[],COLUMN(ProjectList[TYPE])-1,FALSE),"")</f>
        <v>Internal</v>
      </c>
      <c r="D44" s="3" t="str">
        <f>IFERROR(VLOOKUP(Tracking[[#This Row],[PROJECT]],ProjectList[],COLUMN(ProjectList[STATUS])-1,FALSE),"")</f>
        <v>Started</v>
      </c>
      <c r="E44" s="3" t="s">
        <v>233</v>
      </c>
      <c r="F44" s="3" t="str">
        <f>IFERROR(VLOOKUP(Tracking[[#This Row],[MEMBER]],TeamList[],COLUMN(TeamList[LEVEL])-1,FALSE),"")</f>
        <v>TL</v>
      </c>
      <c r="G44" s="3" t="str">
        <f>IFERROR(VLOOKUP(Tracking[[#This Row],[MEMBER]],TeamList[],COLUMN(TeamList[LOCATION])-1,FALSE),"")</f>
        <v>DaLian</v>
      </c>
      <c r="H44" s="3" t="s">
        <v>120</v>
      </c>
      <c r="I44" s="3"/>
      <c r="J44" s="3"/>
      <c r="K44" s="3"/>
    </row>
    <row r="45" spans="2:11" ht="15" customHeight="1">
      <c r="B45" s="3" t="s">
        <v>234</v>
      </c>
      <c r="C45" s="3" t="str">
        <f>IFERROR(VLOOKUP(Tracking[[#This Row],[PROJECT]],ProjectList[],COLUMN(ProjectList[TYPE])-1,FALSE),"")</f>
        <v>Internal</v>
      </c>
      <c r="D45" s="3" t="str">
        <f>IFERROR(VLOOKUP(Tracking[[#This Row],[PROJECT]],ProjectList[],COLUMN(ProjectList[STATUS])-1,FALSE),"")</f>
        <v>Started</v>
      </c>
      <c r="E45" s="3" t="s">
        <v>129</v>
      </c>
      <c r="F45" s="3" t="str">
        <f>IFERROR(VLOOKUP(Tracking[[#This Row],[MEMBER]],TeamList[],COLUMN(TeamList[LEVEL])-1,FALSE),"")</f>
        <v>TL</v>
      </c>
      <c r="G45" s="3" t="str">
        <f>IFERROR(VLOOKUP(Tracking[[#This Row],[MEMBER]],TeamList[],COLUMN(TeamList[LOCATION])-1,FALSE),"")</f>
        <v>DaLian</v>
      </c>
      <c r="H45" s="3" t="s">
        <v>120</v>
      </c>
      <c r="I45" s="3"/>
      <c r="J45" s="3"/>
      <c r="K45" s="3"/>
    </row>
    <row r="46" spans="2:11" ht="15" customHeight="1">
      <c r="B46" s="3" t="s">
        <v>161</v>
      </c>
      <c r="C46" s="3" t="str">
        <f>IFERROR(VLOOKUP(Tracking[[#This Row],[PROJECT]],ProjectList[],COLUMN(ProjectList[TYPE])-1,FALSE),"")</f>
        <v>Internal</v>
      </c>
      <c r="D46" s="3" t="str">
        <f>IFERROR(VLOOKUP(Tracking[[#This Row],[PROJECT]],ProjectList[],COLUMN(ProjectList[STATUS])-1,FALSE),"")</f>
        <v>Ended</v>
      </c>
      <c r="E46" s="3" t="s">
        <v>149</v>
      </c>
      <c r="F46" s="3" t="str">
        <f>IFERROR(VLOOKUP(Tracking[[#This Row],[MEMBER]],TeamList[],COLUMN(TeamList[LEVEL])-1,FALSE),"")</f>
        <v/>
      </c>
      <c r="G46" s="3" t="str">
        <f>IFERROR(VLOOKUP(Tracking[[#This Row],[MEMBER]],TeamList[],COLUMN(TeamList[LOCATION])-1,FALSE),"")</f>
        <v/>
      </c>
      <c r="H46" s="3" t="s">
        <v>146</v>
      </c>
      <c r="I46" s="3"/>
      <c r="J46" s="3"/>
      <c r="K46" s="3"/>
    </row>
    <row r="47" spans="2:11" ht="15" customHeight="1">
      <c r="B47" s="3" t="s">
        <v>161</v>
      </c>
      <c r="C47" s="3" t="str">
        <f>IFERROR(VLOOKUP(Tracking[[#This Row],[PROJECT]],ProjectList[],COLUMN(ProjectList[TYPE])-1,FALSE),"")</f>
        <v>Internal</v>
      </c>
      <c r="D47" s="3" t="str">
        <f>IFERROR(VLOOKUP(Tracking[[#This Row],[PROJECT]],ProjectList[],COLUMN(ProjectList[STATUS])-1,FALSE),"")</f>
        <v>Ended</v>
      </c>
      <c r="E47" s="3" t="s">
        <v>151</v>
      </c>
      <c r="F47" s="3" t="str">
        <f>IFERROR(VLOOKUP(Tracking[[#This Row],[MEMBER]],TeamList[],COLUMN(TeamList[LEVEL])-1,FALSE),"")</f>
        <v/>
      </c>
      <c r="G47" s="3" t="str">
        <f>IFERROR(VLOOKUP(Tracking[[#This Row],[MEMBER]],TeamList[],COLUMN(TeamList[LOCATION])-1,FALSE),"")</f>
        <v/>
      </c>
      <c r="H47" s="3" t="s">
        <v>146</v>
      </c>
      <c r="I47" s="3"/>
      <c r="J47" s="3"/>
      <c r="K47" s="3"/>
    </row>
    <row r="48" spans="2:11" ht="15" customHeight="1">
      <c r="B48" s="3" t="s">
        <v>228</v>
      </c>
      <c r="C48" s="3" t="str">
        <f>IFERROR(VLOOKUP(Tracking[[#This Row],[PROJECT]],ProjectList[],COLUMN(ProjectList[TYPE])-1,FALSE),"")</f>
        <v>External</v>
      </c>
      <c r="D48" s="3" t="str">
        <f>IFERROR(VLOOKUP(Tracking[[#This Row],[PROJECT]],ProjectList[],COLUMN(ProjectList[STATUS])-1,FALSE),"")</f>
        <v>Started</v>
      </c>
      <c r="E48" s="53" t="s">
        <v>28</v>
      </c>
      <c r="F48" s="53" t="str">
        <f>IFERROR(VLOOKUP(Tracking[[#This Row],[MEMBER]],TeamList[],COLUMN(TeamList[LEVEL])-1,FALSE),"")</f>
        <v>SSE</v>
      </c>
      <c r="G48" s="53" t="str">
        <f>IFERROR(VLOOKUP(Tracking[[#This Row],[MEMBER]],TeamList[],COLUMN(TeamList[LOCATION])-1,FALSE),"")</f>
        <v>Shanghai</v>
      </c>
      <c r="H48" s="53" t="s">
        <v>29</v>
      </c>
      <c r="I48" s="53"/>
      <c r="J48" s="53"/>
      <c r="K48" s="53"/>
    </row>
    <row r="49" spans="2:11" ht="15" customHeight="1">
      <c r="B49" s="3" t="s">
        <v>228</v>
      </c>
      <c r="C49" s="53" t="str">
        <f>IFERROR(VLOOKUP(Tracking[[#This Row],[PROJECT]],ProjectList[],COLUMN(ProjectList[TYPE])-1,FALSE),"")</f>
        <v>External</v>
      </c>
      <c r="D49" s="53" t="str">
        <f>IFERROR(VLOOKUP(Tracking[[#This Row],[PROJECT]],ProjectList[],COLUMN(ProjectList[STATUS])-1,FALSE),"")</f>
        <v>Started</v>
      </c>
      <c r="E49" s="53" t="s">
        <v>15</v>
      </c>
      <c r="F49" s="53" t="str">
        <f>IFERROR(VLOOKUP(Tracking[[#This Row],[MEMBER]],TeamList[],COLUMN(TeamList[LEVEL])-1,FALSE),"")</f>
        <v>ASE</v>
      </c>
      <c r="G49" s="53" t="str">
        <f>IFERROR(VLOOKUP(Tracking[[#This Row],[MEMBER]],TeamList[],COLUMN(TeamList[LOCATION])-1,FALSE),"")</f>
        <v>Shanghai</v>
      </c>
      <c r="H49" s="53" t="s">
        <v>29</v>
      </c>
      <c r="I49" s="53"/>
      <c r="J49" s="53"/>
      <c r="K49" s="53"/>
    </row>
  </sheetData>
  <phoneticPr fontId="5" type="noConversion"/>
  <conditionalFormatting sqref="B7:K49">
    <cfRule type="expression" dxfId="47" priority="2">
      <formula>$D7="Ended"</formula>
    </cfRule>
  </conditionalFormatting>
  <dataValidations count="1">
    <dataValidation type="list" allowBlank="1" showInputMessage="1" showErrorMessage="1" sqref="H7:H49">
      <formula1>TeamLeader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20"/>
  <sheetViews>
    <sheetView workbookViewId="0">
      <selection activeCell="D16" sqref="D16"/>
    </sheetView>
  </sheetViews>
  <sheetFormatPr defaultColWidth="9.33203125" defaultRowHeight="15" customHeight="1"/>
  <cols>
    <col min="1" max="1" width="2.33203125" style="17" customWidth="1"/>
    <col min="2" max="3" width="20.83203125" style="17" customWidth="1"/>
    <col min="4" max="4" width="23.83203125" style="17" bestFit="1" customWidth="1"/>
    <col min="5" max="5" width="21.6640625" style="17" bestFit="1" customWidth="1"/>
    <col min="6" max="6" width="23.83203125" style="29" customWidth="1"/>
    <col min="7" max="7" width="23.83203125" style="17" customWidth="1"/>
    <col min="8" max="8" width="23.83203125" style="23" customWidth="1"/>
    <col min="9" max="9" width="32.6640625" style="17" bestFit="1" customWidth="1"/>
    <col min="10" max="12" width="25.83203125" style="17" customWidth="1"/>
    <col min="13" max="16384" width="9.33203125" style="17"/>
  </cols>
  <sheetData>
    <row r="1" spans="2:12" ht="32.25" customHeight="1" thickBot="1">
      <c r="B1" s="14" t="s">
        <v>189</v>
      </c>
      <c r="C1" s="15"/>
      <c r="D1" s="15"/>
      <c r="E1" s="15"/>
      <c r="F1" s="28"/>
      <c r="G1" s="15"/>
      <c r="H1" s="22"/>
      <c r="I1" s="15"/>
      <c r="J1" s="15"/>
      <c r="K1" s="15"/>
      <c r="L1" s="15"/>
    </row>
    <row r="2" spans="2:12" ht="8.1" customHeight="1"/>
    <row r="3" spans="2:12" s="7" customFormat="1" ht="15" customHeight="1">
      <c r="B3" s="30" t="s">
        <v>199</v>
      </c>
      <c r="C3" s="30" t="s">
        <v>191</v>
      </c>
      <c r="D3" s="30" t="s">
        <v>190</v>
      </c>
      <c r="E3" s="31" t="s">
        <v>212</v>
      </c>
      <c r="F3" s="31" t="s">
        <v>213</v>
      </c>
      <c r="H3" s="30"/>
      <c r="I3" s="32"/>
      <c r="J3" s="30" t="s">
        <v>207</v>
      </c>
      <c r="K3" s="30" t="s">
        <v>208</v>
      </c>
      <c r="L3" s="30" t="s">
        <v>209</v>
      </c>
    </row>
    <row r="4" spans="2:12" s="7" customFormat="1" ht="15" customHeight="1">
      <c r="B4" s="8">
        <f>COUNTA(TeamList[NAME])</f>
        <v>55</v>
      </c>
      <c r="C4" s="8">
        <f>COUNTIF(TeamList[STATUS],"Engaged")</f>
        <v>40</v>
      </c>
      <c r="D4" s="8">
        <f>COUNTIF(TeamList[STATUS],"Available")</f>
        <v>15</v>
      </c>
      <c r="E4" s="9">
        <f>COUNTIFS(TeamList[STATUS],"&lt;&gt;Available",TeamList[PROJECT TYPE],"Planned")</f>
        <v>0</v>
      </c>
      <c r="F4" s="9">
        <f>COUNTIFS(TeamList[STATUS],"Available",TeamList[PROJECT TYPE],"Planned")</f>
        <v>0</v>
      </c>
      <c r="H4" s="25"/>
      <c r="I4" s="32"/>
      <c r="J4" s="1">
        <f>COUNTIF(TeamList[JAVASCRIPT],1)/100</f>
        <v>0.44</v>
      </c>
      <c r="K4" s="1">
        <f>COUNTIF(TeamList[JQUERY],1)/100</f>
        <v>0.28000000000000003</v>
      </c>
      <c r="L4" s="1">
        <f>COUNTIF(TeamList[ANGULARJS],1)/100</f>
        <v>0.12</v>
      </c>
    </row>
    <row r="5" spans="2:12" s="7" customFormat="1" ht="15" customHeight="1">
      <c r="B5" s="33" t="s">
        <v>200</v>
      </c>
      <c r="C5" s="33" t="s">
        <v>201</v>
      </c>
      <c r="D5" s="33" t="s">
        <v>202</v>
      </c>
      <c r="E5" s="33" t="s">
        <v>203</v>
      </c>
      <c r="F5" s="33" t="s">
        <v>204</v>
      </c>
      <c r="G5" s="33" t="s">
        <v>205</v>
      </c>
      <c r="H5" s="33" t="s">
        <v>206</v>
      </c>
      <c r="I5" s="32"/>
      <c r="J5" s="32"/>
      <c r="K5" s="32"/>
      <c r="L5" s="32"/>
    </row>
    <row r="6" spans="2:12" s="7" customFormat="1" ht="15" customHeight="1">
      <c r="B6" s="10">
        <f>COUNTIFS(TeamList[STATUS],"Available",TeamList[LEVEL],"TL")</f>
        <v>2</v>
      </c>
      <c r="C6" s="10">
        <f>COUNTIFS(TeamList[STATUS],"Available",TeamList[LEVEL],"SSE")</f>
        <v>1</v>
      </c>
      <c r="D6" s="10">
        <f>COUNTIFS(TeamList[STATUS],"Available",TeamList[LEVEL],"SE")</f>
        <v>2</v>
      </c>
      <c r="E6" s="10">
        <f>COUNTIFS(TeamList[STATUS],"Available",TeamList[LEVEL],"ASE")</f>
        <v>10</v>
      </c>
      <c r="F6" s="10">
        <f>COUNTIFS(TeamList[STATUS],"Available",TeamList[LOCATION],"Shanghai")</f>
        <v>8</v>
      </c>
      <c r="G6" s="10">
        <f>COUNTIFS(TeamList[STATUS],"Available",TeamList[LOCATION],"DaLian")</f>
        <v>4</v>
      </c>
      <c r="H6" s="10">
        <f>COUNTIFS(TeamList[STATUS],"Available",TeamList[LOCATION],"GuangZhou")</f>
        <v>3</v>
      </c>
      <c r="J6" s="32"/>
      <c r="K6" s="32"/>
      <c r="L6" s="32"/>
    </row>
    <row r="7" spans="2:12" ht="8.1" customHeight="1"/>
    <row r="8" spans="2:12" ht="15" customHeight="1">
      <c r="B8" s="27" t="s">
        <v>192</v>
      </c>
      <c r="C8" s="27" t="s">
        <v>168</v>
      </c>
      <c r="D8" s="27" t="s">
        <v>193</v>
      </c>
      <c r="E8" s="27" t="s">
        <v>3</v>
      </c>
      <c r="F8" s="27" t="s">
        <v>182</v>
      </c>
      <c r="G8" s="27" t="s">
        <v>195</v>
      </c>
      <c r="H8" s="27" t="s">
        <v>183</v>
      </c>
      <c r="I8" s="27" t="s">
        <v>194</v>
      </c>
      <c r="J8" s="34" t="s">
        <v>196</v>
      </c>
      <c r="K8" s="34" t="s">
        <v>197</v>
      </c>
      <c r="L8" s="34" t="s">
        <v>198</v>
      </c>
    </row>
    <row r="9" spans="2:12" ht="15" customHeight="1">
      <c r="B9" s="2" t="s">
        <v>32</v>
      </c>
      <c r="C9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9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9" s="2">
        <v>11036205</v>
      </c>
      <c r="F9" s="2" t="s">
        <v>4</v>
      </c>
      <c r="G9" s="2">
        <v>18521516139</v>
      </c>
      <c r="H9" s="2" t="s">
        <v>37</v>
      </c>
      <c r="I9" s="2" t="s">
        <v>40</v>
      </c>
      <c r="J9" s="36">
        <v>1</v>
      </c>
      <c r="K9" s="36">
        <v>1</v>
      </c>
      <c r="L9" s="36"/>
    </row>
    <row r="10" spans="2:12" ht="15" customHeight="1">
      <c r="B10" s="2" t="s">
        <v>0</v>
      </c>
      <c r="C10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0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0" s="2">
        <v>11125778</v>
      </c>
      <c r="F10" s="2" t="s">
        <v>7</v>
      </c>
      <c r="G10" s="3">
        <v>18516211898</v>
      </c>
      <c r="H10" s="2" t="s">
        <v>37</v>
      </c>
      <c r="I10" s="2" t="s">
        <v>41</v>
      </c>
      <c r="J10" s="36">
        <v>1</v>
      </c>
      <c r="K10" s="36">
        <v>1</v>
      </c>
      <c r="L10" s="36"/>
    </row>
    <row r="11" spans="2:12" ht="15" customHeight="1">
      <c r="B11" s="2" t="s">
        <v>1</v>
      </c>
      <c r="C11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1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1" s="2">
        <v>11148632</v>
      </c>
      <c r="F11" s="2" t="s">
        <v>7</v>
      </c>
      <c r="G11" s="2">
        <v>15026952024</v>
      </c>
      <c r="H11" s="2" t="s">
        <v>37</v>
      </c>
      <c r="I11" s="2" t="s">
        <v>42</v>
      </c>
      <c r="J11" s="36">
        <v>1</v>
      </c>
      <c r="K11" s="36">
        <v>1</v>
      </c>
      <c r="L11" s="36"/>
    </row>
    <row r="12" spans="2:12" ht="15" customHeight="1">
      <c r="B12" s="2" t="s">
        <v>31</v>
      </c>
      <c r="C12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2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2" s="2">
        <v>11090389</v>
      </c>
      <c r="F12" s="2" t="s">
        <v>7</v>
      </c>
      <c r="G12" s="2">
        <v>13262512492</v>
      </c>
      <c r="H12" s="2" t="s">
        <v>37</v>
      </c>
      <c r="I12" s="2" t="s">
        <v>43</v>
      </c>
      <c r="J12" s="37">
        <v>1</v>
      </c>
      <c r="K12" s="36">
        <v>1</v>
      </c>
      <c r="L12" s="36">
        <v>1</v>
      </c>
    </row>
    <row r="13" spans="2:12" ht="15" customHeight="1">
      <c r="B13" s="2" t="s">
        <v>33</v>
      </c>
      <c r="C13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3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3" s="2">
        <v>11010639</v>
      </c>
      <c r="F13" s="2" t="s">
        <v>6</v>
      </c>
      <c r="G13" s="2"/>
      <c r="H13" s="2" t="s">
        <v>37</v>
      </c>
      <c r="I13" s="2" t="s">
        <v>44</v>
      </c>
      <c r="J13" s="36">
        <v>1</v>
      </c>
      <c r="K13" s="36">
        <v>1</v>
      </c>
      <c r="L13" s="36"/>
    </row>
    <row r="14" spans="2:12" ht="15" customHeight="1">
      <c r="B14" s="2" t="s">
        <v>9</v>
      </c>
      <c r="C14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4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4" s="2">
        <v>11163279</v>
      </c>
      <c r="F14" s="2" t="s">
        <v>7</v>
      </c>
      <c r="G14" s="2">
        <v>13023166420</v>
      </c>
      <c r="H14" s="2" t="s">
        <v>37</v>
      </c>
      <c r="I14" s="2" t="s">
        <v>45</v>
      </c>
      <c r="J14" s="36">
        <v>1</v>
      </c>
      <c r="K14" s="36">
        <v>1</v>
      </c>
      <c r="L14" s="36"/>
    </row>
    <row r="15" spans="2:12" ht="15" customHeight="1">
      <c r="B15" s="2" t="s">
        <v>36</v>
      </c>
      <c r="C15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5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5" s="2">
        <v>11137695</v>
      </c>
      <c r="F15" s="2" t="s">
        <v>6</v>
      </c>
      <c r="G15" s="2">
        <v>18964095772</v>
      </c>
      <c r="H15" s="2" t="s">
        <v>37</v>
      </c>
      <c r="I15" s="2" t="s">
        <v>46</v>
      </c>
      <c r="J15" s="36">
        <v>1</v>
      </c>
      <c r="K15" s="36">
        <v>1</v>
      </c>
      <c r="L15" s="36"/>
    </row>
    <row r="16" spans="2:12" ht="15" customHeight="1">
      <c r="B16" s="2" t="s">
        <v>34</v>
      </c>
      <c r="C16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6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6" s="2">
        <v>11087910</v>
      </c>
      <c r="F16" s="2" t="s">
        <v>6</v>
      </c>
      <c r="G16" s="2">
        <v>13262698705</v>
      </c>
      <c r="H16" s="2" t="s">
        <v>37</v>
      </c>
      <c r="I16" s="2" t="s">
        <v>47</v>
      </c>
      <c r="J16" s="36">
        <v>1</v>
      </c>
      <c r="K16" s="36">
        <v>1</v>
      </c>
      <c r="L16" s="36"/>
    </row>
    <row r="17" spans="2:12" ht="15" customHeight="1">
      <c r="B17" s="2" t="s">
        <v>35</v>
      </c>
      <c r="C17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7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7" s="2">
        <v>11090063</v>
      </c>
      <c r="F17" s="2" t="s">
        <v>7</v>
      </c>
      <c r="G17" s="2">
        <v>15721169252</v>
      </c>
      <c r="H17" s="2" t="s">
        <v>37</v>
      </c>
      <c r="I17" s="2" t="s">
        <v>48</v>
      </c>
      <c r="J17" s="36">
        <v>1</v>
      </c>
      <c r="K17" s="36">
        <v>1</v>
      </c>
      <c r="L17" s="36"/>
    </row>
    <row r="18" spans="2:12" ht="15" customHeight="1">
      <c r="B18" s="2" t="s">
        <v>10</v>
      </c>
      <c r="C18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8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8" s="2">
        <v>11157486</v>
      </c>
      <c r="F18" s="2" t="s">
        <v>7</v>
      </c>
      <c r="G18" s="2">
        <v>18521064486</v>
      </c>
      <c r="H18" s="2" t="s">
        <v>37</v>
      </c>
      <c r="I18" s="2" t="s">
        <v>49</v>
      </c>
      <c r="J18" s="36">
        <v>1</v>
      </c>
      <c r="K18" s="36">
        <v>1</v>
      </c>
      <c r="L18" s="36"/>
    </row>
    <row r="19" spans="2:12" ht="15" customHeight="1">
      <c r="B19" s="2" t="s">
        <v>112</v>
      </c>
      <c r="C19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19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19" s="2">
        <v>11145551</v>
      </c>
      <c r="F19" s="2" t="s">
        <v>5</v>
      </c>
      <c r="G19" s="2">
        <v>13585840249</v>
      </c>
      <c r="H19" s="2" t="s">
        <v>37</v>
      </c>
      <c r="I19" s="2" t="s">
        <v>50</v>
      </c>
      <c r="J19" s="36">
        <v>1</v>
      </c>
      <c r="K19" s="36">
        <v>1</v>
      </c>
      <c r="L19" s="36"/>
    </row>
    <row r="20" spans="2:12" ht="15" customHeight="1">
      <c r="B20" s="2" t="s">
        <v>11</v>
      </c>
      <c r="C20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20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20" s="2">
        <v>11145562</v>
      </c>
      <c r="F20" s="2" t="s">
        <v>5</v>
      </c>
      <c r="G20" s="2">
        <v>15800672379</v>
      </c>
      <c r="H20" s="2" t="s">
        <v>37</v>
      </c>
      <c r="I20" s="2" t="s">
        <v>51</v>
      </c>
      <c r="J20" s="36">
        <v>1</v>
      </c>
      <c r="K20" s="36">
        <v>1</v>
      </c>
      <c r="L20" s="36"/>
    </row>
    <row r="21" spans="2:12" ht="15" customHeight="1">
      <c r="B21" s="2" t="s">
        <v>26</v>
      </c>
      <c r="C21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21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21" s="2">
        <v>11100506</v>
      </c>
      <c r="F21" s="2" t="s">
        <v>7</v>
      </c>
      <c r="G21" s="2">
        <v>18658422652</v>
      </c>
      <c r="H21" s="2" t="s">
        <v>37</v>
      </c>
      <c r="I21" s="2" t="s">
        <v>52</v>
      </c>
      <c r="J21" s="36">
        <v>1</v>
      </c>
      <c r="K21" s="36">
        <v>1</v>
      </c>
      <c r="L21" s="36"/>
    </row>
    <row r="22" spans="2:12" ht="15" customHeight="1">
      <c r="B22" s="2" t="s">
        <v>27</v>
      </c>
      <c r="C22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22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22" s="2">
        <v>11145500</v>
      </c>
      <c r="F22" s="2" t="s">
        <v>5</v>
      </c>
      <c r="G22" s="2"/>
      <c r="H22" s="2" t="s">
        <v>37</v>
      </c>
      <c r="I22" s="2" t="s">
        <v>53</v>
      </c>
      <c r="J22" s="36">
        <v>1</v>
      </c>
      <c r="K22" s="36">
        <v>1</v>
      </c>
      <c r="L22" s="36"/>
    </row>
    <row r="23" spans="2:12" ht="15" customHeight="1">
      <c r="B23" s="2" t="s">
        <v>12</v>
      </c>
      <c r="C23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23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23" s="2">
        <v>11148690</v>
      </c>
      <c r="F23" s="2" t="s">
        <v>5</v>
      </c>
      <c r="G23" s="2">
        <v>13162551909</v>
      </c>
      <c r="H23" s="2" t="s">
        <v>37</v>
      </c>
      <c r="I23" s="2" t="s">
        <v>54</v>
      </c>
      <c r="J23" s="36">
        <v>1</v>
      </c>
      <c r="K23" s="36">
        <v>1</v>
      </c>
      <c r="L23" s="36"/>
    </row>
    <row r="24" spans="2:12" ht="15" customHeight="1">
      <c r="B24" s="2" t="s">
        <v>28</v>
      </c>
      <c r="C24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24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24" s="2">
        <v>10876735</v>
      </c>
      <c r="F24" s="2" t="s">
        <v>7</v>
      </c>
      <c r="G24" s="2">
        <v>13817476149</v>
      </c>
      <c r="H24" s="2" t="s">
        <v>37</v>
      </c>
      <c r="I24" s="2" t="s">
        <v>55</v>
      </c>
      <c r="J24" s="36"/>
      <c r="K24" s="36"/>
      <c r="L24" s="36"/>
    </row>
    <row r="25" spans="2:12" ht="15" customHeight="1">
      <c r="B25" s="2" t="s">
        <v>29</v>
      </c>
      <c r="C25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25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25" s="2">
        <v>10922391</v>
      </c>
      <c r="F25" s="2" t="s">
        <v>4</v>
      </c>
      <c r="G25" s="2">
        <v>13524105067</v>
      </c>
      <c r="H25" s="2" t="s">
        <v>37</v>
      </c>
      <c r="I25" s="2" t="s">
        <v>56</v>
      </c>
      <c r="J25" s="36"/>
      <c r="K25" s="36"/>
      <c r="L25" s="36"/>
    </row>
    <row r="26" spans="2:12" ht="15" customHeight="1">
      <c r="B26" s="2" t="s">
        <v>30</v>
      </c>
      <c r="C26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26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26" s="2">
        <v>11165390</v>
      </c>
      <c r="F26" s="2" t="s">
        <v>6</v>
      </c>
      <c r="G26" s="2">
        <v>18689379998</v>
      </c>
      <c r="H26" s="2" t="s">
        <v>37</v>
      </c>
      <c r="I26" s="2" t="s">
        <v>57</v>
      </c>
      <c r="J26" s="36"/>
      <c r="K26" s="36"/>
      <c r="L26" s="36"/>
    </row>
    <row r="27" spans="2:12" ht="15" customHeight="1">
      <c r="B27" s="2" t="s">
        <v>13</v>
      </c>
      <c r="C27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27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27" s="2">
        <v>11165391</v>
      </c>
      <c r="F27" s="2" t="s">
        <v>6</v>
      </c>
      <c r="G27" s="2">
        <v>15850560653</v>
      </c>
      <c r="H27" s="2" t="s">
        <v>37</v>
      </c>
      <c r="I27" s="2" t="s">
        <v>58</v>
      </c>
      <c r="J27" s="36"/>
      <c r="K27" s="36"/>
      <c r="L27" s="36"/>
    </row>
    <row r="28" spans="2:12" ht="15" customHeight="1">
      <c r="B28" s="2" t="s">
        <v>22</v>
      </c>
      <c r="C28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28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28" s="2">
        <v>11145572</v>
      </c>
      <c r="F28" s="2" t="s">
        <v>5</v>
      </c>
      <c r="G28" s="2">
        <v>18817378046</v>
      </c>
      <c r="H28" s="2" t="s">
        <v>37</v>
      </c>
      <c r="I28" s="2" t="s">
        <v>59</v>
      </c>
      <c r="J28" s="36">
        <v>1</v>
      </c>
      <c r="K28" s="36">
        <v>1</v>
      </c>
      <c r="L28" s="36"/>
    </row>
    <row r="29" spans="2:12" ht="15" customHeight="1">
      <c r="B29" s="2" t="s">
        <v>21</v>
      </c>
      <c r="C29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29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29" s="2">
        <v>11145569</v>
      </c>
      <c r="F29" s="2" t="s">
        <v>5</v>
      </c>
      <c r="G29" s="2">
        <v>18018608024</v>
      </c>
      <c r="H29" s="2" t="s">
        <v>37</v>
      </c>
      <c r="I29" s="2" t="s">
        <v>60</v>
      </c>
      <c r="J29" s="36">
        <v>1</v>
      </c>
      <c r="K29" s="36">
        <v>1</v>
      </c>
      <c r="L29" s="36"/>
    </row>
    <row r="30" spans="2:12" ht="15" customHeight="1">
      <c r="B30" s="2" t="s">
        <v>2</v>
      </c>
      <c r="C30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0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0" s="2">
        <v>11209763</v>
      </c>
      <c r="F30" s="2" t="s">
        <v>8</v>
      </c>
      <c r="G30" s="2">
        <v>13816458891</v>
      </c>
      <c r="H30" s="2" t="s">
        <v>37</v>
      </c>
      <c r="I30" s="2" t="s">
        <v>61</v>
      </c>
      <c r="J30" s="36">
        <v>1</v>
      </c>
      <c r="K30" s="36">
        <v>1</v>
      </c>
      <c r="L30" s="36">
        <v>1</v>
      </c>
    </row>
    <row r="31" spans="2:12" ht="15" customHeight="1">
      <c r="B31" s="2" t="s">
        <v>14</v>
      </c>
      <c r="C31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1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1" s="2">
        <v>11140781</v>
      </c>
      <c r="F31" s="2" t="s">
        <v>6</v>
      </c>
      <c r="G31" s="2">
        <v>15077929354</v>
      </c>
      <c r="H31" s="2" t="s">
        <v>37</v>
      </c>
      <c r="I31" s="2" t="s">
        <v>62</v>
      </c>
      <c r="J31" s="36"/>
      <c r="K31" s="36"/>
      <c r="L31" s="36"/>
    </row>
    <row r="32" spans="2:12" ht="15" customHeight="1">
      <c r="B32" s="2" t="s">
        <v>20</v>
      </c>
      <c r="C32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2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2" s="2">
        <v>10993500</v>
      </c>
      <c r="F32" s="2" t="s">
        <v>7</v>
      </c>
      <c r="G32" s="2"/>
      <c r="H32" s="2" t="s">
        <v>37</v>
      </c>
      <c r="I32" s="2" t="s">
        <v>63</v>
      </c>
      <c r="J32" s="36">
        <v>1</v>
      </c>
      <c r="K32" s="36">
        <v>1</v>
      </c>
      <c r="L32" s="36"/>
    </row>
    <row r="33" spans="2:12" ht="15" customHeight="1">
      <c r="B33" s="2" t="s">
        <v>19</v>
      </c>
      <c r="C33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3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3" s="2">
        <v>11009989</v>
      </c>
      <c r="F33" s="2" t="s">
        <v>7</v>
      </c>
      <c r="G33" s="2">
        <v>13962247632</v>
      </c>
      <c r="H33" s="2" t="s">
        <v>37</v>
      </c>
      <c r="I33" s="2" t="s">
        <v>64</v>
      </c>
      <c r="J33" s="36"/>
      <c r="K33" s="36"/>
      <c r="L33" s="36"/>
    </row>
    <row r="34" spans="2:12" ht="15" customHeight="1">
      <c r="B34" s="2" t="s">
        <v>18</v>
      </c>
      <c r="C34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34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34" s="2">
        <v>11145582</v>
      </c>
      <c r="F34" s="2" t="s">
        <v>5</v>
      </c>
      <c r="G34" s="2">
        <v>18217043897</v>
      </c>
      <c r="H34" s="2" t="s">
        <v>37</v>
      </c>
      <c r="I34" s="2" t="s">
        <v>65</v>
      </c>
      <c r="J34" s="36">
        <v>1</v>
      </c>
      <c r="K34" s="36"/>
      <c r="L34" s="36">
        <v>1</v>
      </c>
    </row>
    <row r="35" spans="2:12" ht="15" customHeight="1">
      <c r="B35" s="2" t="s">
        <v>15</v>
      </c>
      <c r="C35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5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5" s="2">
        <v>11145561</v>
      </c>
      <c r="F35" s="2" t="s">
        <v>5</v>
      </c>
      <c r="G35" s="2">
        <v>18817353831</v>
      </c>
      <c r="H35" s="2" t="s">
        <v>37</v>
      </c>
      <c r="I35" s="2" t="s">
        <v>66</v>
      </c>
      <c r="J35" s="36">
        <v>1</v>
      </c>
      <c r="K35" s="36">
        <v>1</v>
      </c>
      <c r="L35" s="36">
        <v>1</v>
      </c>
    </row>
    <row r="36" spans="2:12" ht="15" customHeight="1">
      <c r="B36" s="2" t="s">
        <v>17</v>
      </c>
      <c r="C36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36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36" s="2">
        <v>11147835</v>
      </c>
      <c r="F36" s="2" t="s">
        <v>5</v>
      </c>
      <c r="G36" s="2">
        <v>15224048187</v>
      </c>
      <c r="H36" s="2" t="s">
        <v>37</v>
      </c>
      <c r="I36" s="2" t="s">
        <v>67</v>
      </c>
      <c r="J36" s="36">
        <v>1</v>
      </c>
      <c r="K36" s="36">
        <v>1</v>
      </c>
      <c r="L36" s="36"/>
    </row>
    <row r="37" spans="2:12" ht="15" customHeight="1">
      <c r="B37" s="2" t="s">
        <v>16</v>
      </c>
      <c r="C37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7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7" s="2">
        <v>11145550</v>
      </c>
      <c r="F37" s="2" t="s">
        <v>5</v>
      </c>
      <c r="G37" s="2">
        <v>15618683553</v>
      </c>
      <c r="H37" s="2" t="s">
        <v>37</v>
      </c>
      <c r="I37" s="2" t="s">
        <v>68</v>
      </c>
      <c r="J37" s="36">
        <v>1</v>
      </c>
      <c r="K37" s="36">
        <v>1</v>
      </c>
      <c r="L37" s="36">
        <v>1</v>
      </c>
    </row>
    <row r="38" spans="2:12" ht="15" customHeight="1">
      <c r="B38" s="2" t="s">
        <v>23</v>
      </c>
      <c r="C38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8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8" s="2">
        <v>11145555</v>
      </c>
      <c r="F38" s="2" t="s">
        <v>5</v>
      </c>
      <c r="G38" s="2">
        <v>13795369618</v>
      </c>
      <c r="H38" s="2" t="s">
        <v>37</v>
      </c>
      <c r="I38" s="2" t="s">
        <v>69</v>
      </c>
      <c r="J38" s="36">
        <v>1</v>
      </c>
      <c r="K38" s="36">
        <v>1</v>
      </c>
      <c r="L38" s="36"/>
    </row>
    <row r="39" spans="2:12" ht="15" customHeight="1">
      <c r="B39" s="2" t="s">
        <v>24</v>
      </c>
      <c r="C39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39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39" s="2">
        <v>11145559</v>
      </c>
      <c r="F39" s="2" t="s">
        <v>5</v>
      </c>
      <c r="G39" s="2">
        <v>15201733231</v>
      </c>
      <c r="H39" s="2" t="s">
        <v>37</v>
      </c>
      <c r="I39" s="2" t="s">
        <v>70</v>
      </c>
      <c r="J39" s="36">
        <v>1</v>
      </c>
      <c r="K39" s="36">
        <v>1</v>
      </c>
      <c r="L39" s="36"/>
    </row>
    <row r="40" spans="2:12" ht="15" customHeight="1">
      <c r="B40" s="2" t="s">
        <v>25</v>
      </c>
      <c r="C40" s="35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40" s="2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40" s="2">
        <v>11090034</v>
      </c>
      <c r="F40" s="2" t="s">
        <v>6</v>
      </c>
      <c r="G40" s="2"/>
      <c r="H40" s="2" t="s">
        <v>37</v>
      </c>
      <c r="I40" s="2" t="s">
        <v>71</v>
      </c>
      <c r="J40" s="36"/>
      <c r="K40" s="36"/>
      <c r="L40" s="36"/>
    </row>
    <row r="41" spans="2:12" ht="15" customHeight="1">
      <c r="B41" s="49" t="s">
        <v>232</v>
      </c>
      <c r="C41" s="50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41" s="49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41" s="49"/>
      <c r="F41" s="49" t="s">
        <v>4</v>
      </c>
      <c r="G41" s="51"/>
      <c r="H41" s="51" t="s">
        <v>37</v>
      </c>
      <c r="I41" s="49"/>
      <c r="J41" s="52">
        <v>1</v>
      </c>
      <c r="K41" s="52">
        <v>1</v>
      </c>
      <c r="L41" s="52">
        <v>1</v>
      </c>
    </row>
    <row r="42" spans="2:12" ht="15" customHeight="1">
      <c r="B42" s="3" t="s">
        <v>116</v>
      </c>
      <c r="C42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2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42" s="2">
        <v>11160071</v>
      </c>
      <c r="F42" s="3" t="s">
        <v>7</v>
      </c>
      <c r="G42" s="4">
        <v>18640819927</v>
      </c>
      <c r="H42" s="4" t="s">
        <v>38</v>
      </c>
      <c r="I42" s="4" t="s">
        <v>131</v>
      </c>
      <c r="J42" s="39">
        <v>1</v>
      </c>
      <c r="K42" s="36"/>
      <c r="L42" s="40"/>
    </row>
    <row r="43" spans="2:12" ht="15" customHeight="1">
      <c r="B43" s="3" t="s">
        <v>117</v>
      </c>
      <c r="C43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3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3" s="2">
        <v>11153428</v>
      </c>
      <c r="F43" s="3" t="s">
        <v>7</v>
      </c>
      <c r="G43" s="4"/>
      <c r="H43" s="4" t="s">
        <v>38</v>
      </c>
      <c r="I43" s="4" t="s">
        <v>132</v>
      </c>
      <c r="J43" s="39"/>
      <c r="K43" s="36"/>
      <c r="L43" s="40"/>
    </row>
    <row r="44" spans="2:12" ht="15" customHeight="1">
      <c r="B44" s="3" t="s">
        <v>118</v>
      </c>
      <c r="C44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4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4" s="2">
        <v>11148147</v>
      </c>
      <c r="F44" s="3" t="s">
        <v>4</v>
      </c>
      <c r="G44" s="4"/>
      <c r="H44" s="4" t="s">
        <v>38</v>
      </c>
      <c r="I44" s="4" t="s">
        <v>133</v>
      </c>
      <c r="J44" s="39"/>
      <c r="K44" s="36"/>
      <c r="L44" s="40"/>
    </row>
    <row r="45" spans="2:12" ht="15" customHeight="1">
      <c r="B45" s="3" t="s">
        <v>119</v>
      </c>
      <c r="C45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5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5" s="2">
        <v>11087478</v>
      </c>
      <c r="F45" s="3" t="s">
        <v>7</v>
      </c>
      <c r="G45" s="4">
        <v>18640817102</v>
      </c>
      <c r="H45" s="4" t="s">
        <v>38</v>
      </c>
      <c r="I45" s="4" t="s">
        <v>134</v>
      </c>
      <c r="J45" s="39">
        <v>1</v>
      </c>
      <c r="K45" s="36"/>
      <c r="L45" s="40">
        <v>1</v>
      </c>
    </row>
    <row r="46" spans="2:12" ht="15" customHeight="1">
      <c r="B46" s="3" t="s">
        <v>120</v>
      </c>
      <c r="C46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6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6" s="2">
        <v>11183596</v>
      </c>
      <c r="F46" s="3" t="s">
        <v>8</v>
      </c>
      <c r="G46" s="4">
        <v>15941101026</v>
      </c>
      <c r="H46" s="4" t="s">
        <v>38</v>
      </c>
      <c r="I46" s="4" t="s">
        <v>135</v>
      </c>
      <c r="J46" s="39">
        <v>1</v>
      </c>
      <c r="K46" s="36"/>
      <c r="L46" s="40">
        <v>1</v>
      </c>
    </row>
    <row r="47" spans="2:12" ht="15" customHeight="1">
      <c r="B47" s="3" t="s">
        <v>121</v>
      </c>
      <c r="C47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7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7" s="2">
        <v>11160972</v>
      </c>
      <c r="F47" s="3" t="s">
        <v>7</v>
      </c>
      <c r="G47" s="4">
        <v>15840936229</v>
      </c>
      <c r="H47" s="4" t="s">
        <v>38</v>
      </c>
      <c r="I47" s="4" t="s">
        <v>136</v>
      </c>
      <c r="J47" s="39">
        <v>1</v>
      </c>
      <c r="K47" s="36"/>
      <c r="L47" s="40">
        <v>1</v>
      </c>
    </row>
    <row r="48" spans="2:12" ht="15" customHeight="1">
      <c r="B48" s="3" t="s">
        <v>122</v>
      </c>
      <c r="C48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8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8" s="2">
        <v>11161760</v>
      </c>
      <c r="F48" s="3" t="s">
        <v>7</v>
      </c>
      <c r="G48" s="4">
        <v>15140309680</v>
      </c>
      <c r="H48" s="4" t="s">
        <v>38</v>
      </c>
      <c r="I48" s="4" t="s">
        <v>137</v>
      </c>
      <c r="J48" s="39">
        <v>1</v>
      </c>
      <c r="K48" s="36"/>
      <c r="L48" s="40">
        <v>1</v>
      </c>
    </row>
    <row r="49" spans="2:12" ht="15" customHeight="1">
      <c r="B49" s="3" t="s">
        <v>123</v>
      </c>
      <c r="C49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49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49" s="2">
        <v>11161763</v>
      </c>
      <c r="F49" s="3" t="s">
        <v>6</v>
      </c>
      <c r="G49" s="4">
        <v>15140317885</v>
      </c>
      <c r="H49" s="4" t="s">
        <v>38</v>
      </c>
      <c r="I49" s="4" t="s">
        <v>138</v>
      </c>
      <c r="J49" s="39">
        <v>1</v>
      </c>
      <c r="K49" s="36"/>
      <c r="L49" s="40">
        <v>1</v>
      </c>
    </row>
    <row r="50" spans="2:12" ht="15" customHeight="1">
      <c r="B50" s="3" t="s">
        <v>124</v>
      </c>
      <c r="C50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50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50" s="2">
        <v>11154869</v>
      </c>
      <c r="F50" s="3" t="s">
        <v>5</v>
      </c>
      <c r="G50" s="4">
        <v>13624240332</v>
      </c>
      <c r="H50" s="4" t="s">
        <v>38</v>
      </c>
      <c r="I50" s="4" t="s">
        <v>139</v>
      </c>
      <c r="J50" s="39">
        <v>1</v>
      </c>
      <c r="K50" s="36"/>
      <c r="L50" s="40"/>
    </row>
    <row r="51" spans="2:12" ht="15" customHeight="1">
      <c r="B51" s="3" t="s">
        <v>125</v>
      </c>
      <c r="C51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51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51" s="2">
        <v>11154886</v>
      </c>
      <c r="F51" s="3" t="s">
        <v>5</v>
      </c>
      <c r="G51" s="4">
        <v>13237086320</v>
      </c>
      <c r="H51" s="4" t="s">
        <v>38</v>
      </c>
      <c r="I51" s="4" t="s">
        <v>140</v>
      </c>
      <c r="J51" s="39">
        <v>1</v>
      </c>
      <c r="K51" s="36"/>
      <c r="L51" s="40"/>
    </row>
    <row r="52" spans="2:12" ht="15" customHeight="1">
      <c r="B52" s="3" t="s">
        <v>130</v>
      </c>
      <c r="C52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52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52" s="2">
        <v>11154860</v>
      </c>
      <c r="F52" s="3" t="s">
        <v>5</v>
      </c>
      <c r="G52" s="4">
        <v>13624286264</v>
      </c>
      <c r="H52" s="4" t="s">
        <v>38</v>
      </c>
      <c r="I52" s="4" t="s">
        <v>141</v>
      </c>
      <c r="J52" s="39">
        <v>1</v>
      </c>
      <c r="K52" s="36"/>
      <c r="L52" s="40"/>
    </row>
    <row r="53" spans="2:12" ht="15" customHeight="1">
      <c r="B53" s="3" t="s">
        <v>126</v>
      </c>
      <c r="C53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53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53" s="2">
        <v>11154869</v>
      </c>
      <c r="F53" s="3" t="s">
        <v>5</v>
      </c>
      <c r="G53" s="4">
        <v>18642866302</v>
      </c>
      <c r="H53" s="4" t="s">
        <v>38</v>
      </c>
      <c r="I53" s="4" t="s">
        <v>142</v>
      </c>
      <c r="J53" s="39">
        <v>1</v>
      </c>
      <c r="K53" s="36"/>
      <c r="L53" s="40"/>
    </row>
    <row r="54" spans="2:12" ht="15" customHeight="1">
      <c r="B54" s="3" t="s">
        <v>127</v>
      </c>
      <c r="C54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54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54" s="2">
        <v>11154852</v>
      </c>
      <c r="F54" s="3" t="s">
        <v>5</v>
      </c>
      <c r="G54" s="4">
        <v>13664141025</v>
      </c>
      <c r="H54" s="4" t="s">
        <v>38</v>
      </c>
      <c r="I54" s="4" t="s">
        <v>143</v>
      </c>
      <c r="J54" s="39">
        <v>1</v>
      </c>
      <c r="K54" s="36"/>
      <c r="L54" s="40"/>
    </row>
    <row r="55" spans="2:12" ht="15" customHeight="1">
      <c r="B55" s="3" t="s">
        <v>128</v>
      </c>
      <c r="C55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55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55" s="2">
        <v>11154858</v>
      </c>
      <c r="F55" s="3" t="s">
        <v>5</v>
      </c>
      <c r="G55" s="4">
        <v>13591735568</v>
      </c>
      <c r="H55" s="4" t="s">
        <v>38</v>
      </c>
      <c r="I55" s="4" t="s">
        <v>144</v>
      </c>
      <c r="J55" s="39">
        <v>1</v>
      </c>
      <c r="K55" s="36"/>
      <c r="L55" s="40"/>
    </row>
    <row r="56" spans="2:12" ht="15" customHeight="1">
      <c r="B56" s="3" t="s">
        <v>129</v>
      </c>
      <c r="C56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56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56" s="2">
        <v>11163253</v>
      </c>
      <c r="F56" s="3" t="s">
        <v>4</v>
      </c>
      <c r="G56" s="4">
        <v>13079889935</v>
      </c>
      <c r="H56" s="4" t="s">
        <v>38</v>
      </c>
      <c r="I56" s="4" t="s">
        <v>145</v>
      </c>
      <c r="J56" s="39">
        <v>1</v>
      </c>
      <c r="K56" s="36"/>
      <c r="L56" s="40">
        <v>1</v>
      </c>
    </row>
    <row r="57" spans="2:12" ht="15" customHeight="1">
      <c r="B57" s="3" t="s">
        <v>146</v>
      </c>
      <c r="C57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57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57" s="3">
        <v>11116180</v>
      </c>
      <c r="F57" s="3" t="s">
        <v>4</v>
      </c>
      <c r="G57" s="4">
        <v>15902048810</v>
      </c>
      <c r="H57" s="4" t="s">
        <v>39</v>
      </c>
      <c r="I57" s="4" t="s">
        <v>154</v>
      </c>
      <c r="J57" s="39">
        <v>1</v>
      </c>
      <c r="K57" s="36">
        <v>1</v>
      </c>
      <c r="L57" s="40"/>
    </row>
    <row r="58" spans="2:12" ht="15" customHeight="1">
      <c r="B58" s="3" t="s">
        <v>147</v>
      </c>
      <c r="C58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58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58" s="3">
        <v>11138934</v>
      </c>
      <c r="F58" s="3" t="s">
        <v>6</v>
      </c>
      <c r="G58" s="4">
        <v>18565561615</v>
      </c>
      <c r="H58" s="4" t="s">
        <v>39</v>
      </c>
      <c r="I58" s="4" t="s">
        <v>155</v>
      </c>
      <c r="J58" s="39"/>
      <c r="K58" s="36"/>
      <c r="L58" s="40"/>
    </row>
    <row r="59" spans="2:12" ht="15" customHeight="1">
      <c r="B59" s="3" t="s">
        <v>148</v>
      </c>
      <c r="C59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59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59" s="3">
        <v>11118653</v>
      </c>
      <c r="F59" s="3" t="s">
        <v>6</v>
      </c>
      <c r="G59" s="4">
        <v>13286337705</v>
      </c>
      <c r="H59" s="4" t="s">
        <v>39</v>
      </c>
      <c r="I59" s="4" t="s">
        <v>156</v>
      </c>
      <c r="J59" s="39"/>
      <c r="K59" s="36"/>
      <c r="L59" s="40"/>
    </row>
    <row r="60" spans="2:12" ht="15" customHeight="1">
      <c r="B60" s="3" t="s">
        <v>150</v>
      </c>
      <c r="C60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60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60" s="3">
        <v>11116180</v>
      </c>
      <c r="F60" s="3" t="s">
        <v>6</v>
      </c>
      <c r="G60" s="4">
        <v>13726776987</v>
      </c>
      <c r="H60" s="4" t="s">
        <v>39</v>
      </c>
      <c r="I60" s="4" t="s">
        <v>157</v>
      </c>
      <c r="J60" s="39">
        <v>1</v>
      </c>
      <c r="K60" s="36">
        <v>1</v>
      </c>
      <c r="L60" s="40"/>
    </row>
    <row r="61" spans="2:12" ht="15" customHeight="1">
      <c r="B61" s="3" t="s">
        <v>152</v>
      </c>
      <c r="C61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61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External</v>
      </c>
      <c r="E61" s="3">
        <v>11104442</v>
      </c>
      <c r="F61" s="3" t="s">
        <v>7</v>
      </c>
      <c r="G61" s="4">
        <v>13580388273</v>
      </c>
      <c r="H61" s="4" t="s">
        <v>39</v>
      </c>
      <c r="I61" s="4" t="s">
        <v>158</v>
      </c>
      <c r="J61" s="39">
        <v>1</v>
      </c>
      <c r="K61" s="36"/>
      <c r="L61" s="40"/>
    </row>
    <row r="62" spans="2:12" ht="15" customHeight="1">
      <c r="B62" s="3" t="s">
        <v>153</v>
      </c>
      <c r="C62" s="38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Available</v>
      </c>
      <c r="D62" s="4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/>
      </c>
      <c r="E62" s="3">
        <v>11104443</v>
      </c>
      <c r="F62" s="3" t="s">
        <v>7</v>
      </c>
      <c r="G62" s="4">
        <v>18319984205</v>
      </c>
      <c r="H62" s="4" t="s">
        <v>39</v>
      </c>
      <c r="I62" s="4" t="s">
        <v>159</v>
      </c>
      <c r="J62" s="39">
        <v>1</v>
      </c>
      <c r="K62" s="36"/>
      <c r="L62" s="40"/>
    </row>
    <row r="63" spans="2:12" ht="15" customHeight="1">
      <c r="B63" s="53" t="s">
        <v>233</v>
      </c>
      <c r="C63" s="53" t="str">
        <f>IF(IFERROR(VLOOKUP(TeamList[[#This Row],[NAME]],Tracking[MEMBER],1,FALSE),"")&lt;&gt;"",IF(AND(INDEX(ProjectList[STATUS],MATCH(INDEX(Tracking[],MATCH(TeamList[[#This Row],[NAME]], Tracking[MEMBER],0),1),ProjectList[PROJECT],0),1)&lt;&gt;"Ended", INDEX(ProjectList[CHARGEABLE],MATCH(INDEX(Tracking[],MATCH(TeamList[[#This Row],[NAME]], Tracking[MEMBER],0),1),ProjectList[PROJECT],0),1)=1),IF(INDEX(ProjectList[STATUS],MATCH(INDEX(Tracking[],MATCH(TeamList[[#This Row],[NAME]], Tracking[MEMBER],0),1),ProjectList[PROJECT],0),1)="Started","Engaged","Planned"),"Available"),"Available")</f>
        <v>Engaged</v>
      </c>
      <c r="D63" s="53" t="str">
        <f>IF(IFERROR(INDEX(ProjectList[],MATCH(INDEX(Tracking[],MATCH(TeamList[[#This Row],[NAME]],Tracking[MEMBER],0), 1),ProjectList[PROJECT],0),4),"")&lt;&gt;"Ended",IF(IFERROR(INDEX(ProjectList[],MATCH(INDEX(Tracking[],MATCH(TeamList[[#This Row],[NAME]],Tracking[MEMBER],0), 1),ProjectList[PROJECT],0),4),"")="Planned","Planned",IFERROR(INDEX(ProjectList[],MATCH(INDEX(Tracking[],MATCH(TeamList[[#This Row],[NAME]],Tracking[MEMBER],0), 1),ProjectList[PROJECT],0),3),"")),"")</f>
        <v>Internal</v>
      </c>
      <c r="E63" s="53"/>
      <c r="F63" s="53" t="s">
        <v>4</v>
      </c>
      <c r="G63" s="54"/>
      <c r="H63" s="54" t="s">
        <v>38</v>
      </c>
      <c r="I63" s="53"/>
      <c r="J63" s="55">
        <v>1</v>
      </c>
      <c r="K63" s="52">
        <v>1</v>
      </c>
      <c r="L63" s="55"/>
    </row>
    <row r="64" spans="2:12" ht="15" customHeight="1">
      <c r="K64" s="41"/>
    </row>
    <row r="65" spans="11:11" ht="15" customHeight="1">
      <c r="K65" s="41"/>
    </row>
    <row r="66" spans="11:11" ht="15" customHeight="1">
      <c r="K66" s="41"/>
    </row>
    <row r="67" spans="11:11" ht="15" customHeight="1">
      <c r="K67" s="41"/>
    </row>
    <row r="68" spans="11:11" ht="15" customHeight="1">
      <c r="K68" s="41"/>
    </row>
    <row r="69" spans="11:11" ht="15" customHeight="1">
      <c r="K69" s="41"/>
    </row>
    <row r="70" spans="11:11" ht="15" customHeight="1">
      <c r="K70" s="41"/>
    </row>
    <row r="71" spans="11:11" ht="15" customHeight="1">
      <c r="K71" s="41"/>
    </row>
    <row r="72" spans="11:11" ht="15" customHeight="1">
      <c r="K72" s="41"/>
    </row>
    <row r="73" spans="11:11" ht="15" customHeight="1">
      <c r="K73" s="41"/>
    </row>
    <row r="74" spans="11:11" ht="15" customHeight="1">
      <c r="K74" s="41"/>
    </row>
    <row r="75" spans="11:11" ht="15" customHeight="1">
      <c r="K75" s="41"/>
    </row>
    <row r="76" spans="11:11" ht="15" customHeight="1">
      <c r="K76" s="41"/>
    </row>
    <row r="77" spans="11:11" ht="15" customHeight="1">
      <c r="K77" s="41"/>
    </row>
    <row r="78" spans="11:11" ht="15" customHeight="1">
      <c r="K78" s="41"/>
    </row>
    <row r="79" spans="11:11" ht="15" customHeight="1">
      <c r="K79" s="41"/>
    </row>
    <row r="80" spans="11:11" ht="15" customHeight="1">
      <c r="K80" s="41"/>
    </row>
    <row r="81" spans="11:11" ht="15" customHeight="1">
      <c r="K81" s="41"/>
    </row>
    <row r="82" spans="11:11" ht="15" customHeight="1">
      <c r="K82" s="41"/>
    </row>
    <row r="83" spans="11:11" ht="15" customHeight="1">
      <c r="K83" s="41"/>
    </row>
    <row r="84" spans="11:11" ht="15" customHeight="1">
      <c r="K84" s="41"/>
    </row>
    <row r="85" spans="11:11" ht="15" customHeight="1">
      <c r="K85" s="41"/>
    </row>
    <row r="86" spans="11:11" ht="15" customHeight="1">
      <c r="K86" s="41"/>
    </row>
    <row r="87" spans="11:11" ht="15" customHeight="1">
      <c r="K87" s="41"/>
    </row>
    <row r="88" spans="11:11" ht="15" customHeight="1">
      <c r="K88" s="41"/>
    </row>
    <row r="89" spans="11:11" ht="15" customHeight="1">
      <c r="K89" s="41"/>
    </row>
    <row r="90" spans="11:11" ht="15" customHeight="1">
      <c r="K90" s="41"/>
    </row>
    <row r="91" spans="11:11" ht="15" customHeight="1">
      <c r="K91" s="41"/>
    </row>
    <row r="92" spans="11:11" ht="15" customHeight="1">
      <c r="K92" s="41"/>
    </row>
    <row r="93" spans="11:11" ht="15" customHeight="1">
      <c r="K93" s="41"/>
    </row>
    <row r="94" spans="11:11" ht="15" customHeight="1">
      <c r="K94" s="41"/>
    </row>
    <row r="95" spans="11:11" ht="15" customHeight="1">
      <c r="K95" s="41"/>
    </row>
    <row r="96" spans="11:11" ht="15" customHeight="1">
      <c r="K96" s="41"/>
    </row>
    <row r="97" spans="11:11" ht="15" customHeight="1">
      <c r="K97" s="41"/>
    </row>
    <row r="98" spans="11:11" ht="15" customHeight="1">
      <c r="K98" s="41"/>
    </row>
    <row r="99" spans="11:11" ht="15" customHeight="1">
      <c r="K99" s="41"/>
    </row>
    <row r="100" spans="11:11" ht="15" customHeight="1">
      <c r="K100" s="41"/>
    </row>
    <row r="101" spans="11:11" ht="15" customHeight="1">
      <c r="K101" s="41"/>
    </row>
    <row r="102" spans="11:11" ht="15" customHeight="1">
      <c r="K102" s="41"/>
    </row>
    <row r="103" spans="11:11" ht="15" customHeight="1">
      <c r="K103" s="41"/>
    </row>
    <row r="104" spans="11:11" ht="15" customHeight="1">
      <c r="K104" s="41"/>
    </row>
    <row r="105" spans="11:11" ht="15" customHeight="1">
      <c r="K105" s="41"/>
    </row>
    <row r="106" spans="11:11" ht="15" customHeight="1">
      <c r="K106" s="41"/>
    </row>
    <row r="107" spans="11:11" ht="15" customHeight="1">
      <c r="K107" s="41"/>
    </row>
    <row r="108" spans="11:11" ht="15" customHeight="1">
      <c r="K108" s="41"/>
    </row>
    <row r="109" spans="11:11" ht="15" customHeight="1">
      <c r="K109" s="41"/>
    </row>
    <row r="110" spans="11:11" ht="15" customHeight="1">
      <c r="K110" s="41"/>
    </row>
    <row r="111" spans="11:11" ht="15" customHeight="1">
      <c r="K111" s="42"/>
    </row>
    <row r="112" spans="11:11" ht="15" customHeight="1">
      <c r="K112" s="42"/>
    </row>
    <row r="113" spans="11:11" ht="15" customHeight="1">
      <c r="K113" s="42"/>
    </row>
    <row r="114" spans="11:11" ht="15" customHeight="1">
      <c r="K114" s="42"/>
    </row>
    <row r="115" spans="11:11" ht="15" customHeight="1">
      <c r="K115" s="42"/>
    </row>
    <row r="116" spans="11:11" ht="15" customHeight="1">
      <c r="K116" s="42"/>
    </row>
    <row r="117" spans="11:11" ht="15" customHeight="1">
      <c r="K117" s="42"/>
    </row>
    <row r="118" spans="11:11" ht="15" customHeight="1">
      <c r="K118" s="42"/>
    </row>
    <row r="119" spans="11:11" ht="15" customHeight="1">
      <c r="K119" s="42"/>
    </row>
    <row r="120" spans="11:11" ht="15" customHeight="1">
      <c r="K120" s="42"/>
    </row>
  </sheetData>
  <phoneticPr fontId="5" type="noConversion"/>
  <dataValidations count="2">
    <dataValidation type="list" allowBlank="1" showInputMessage="1" showErrorMessage="1" sqref="F9:F63">
      <formula1>Level</formula1>
    </dataValidation>
    <dataValidation type="list" allowBlank="1" showInputMessage="1" showErrorMessage="1" sqref="H9:H63">
      <formula1>Location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421AEC3F-EF2F-4F13-93BB-E4BB57AC538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K9</xm:sqref>
        </x14:conditionalFormatting>
        <x14:conditionalFormatting xmlns:xm="http://schemas.microsoft.com/office/excel/2006/main">
          <x14:cfRule type="iconSet" priority="12" id="{E1230E9D-921F-49B1-82BB-06129123331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K95:K110</xm:sqref>
        </x14:conditionalFormatting>
        <x14:conditionalFormatting xmlns:xm="http://schemas.microsoft.com/office/excel/2006/main">
          <x14:cfRule type="iconSet" priority="11" id="{FE4AD2BA-AC36-4975-A518-A39C6486B41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K95:K110</xm:sqref>
        </x14:conditionalFormatting>
        <x14:conditionalFormatting xmlns:xm="http://schemas.microsoft.com/office/excel/2006/main">
          <x14:cfRule type="iconSet" priority="8" id="{2B8419D9-9D8A-496A-829D-BA2E5AFE91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K57</xm:sqref>
        </x14:conditionalFormatting>
        <x14:conditionalFormatting xmlns:xm="http://schemas.microsoft.com/office/excel/2006/main">
          <x14:cfRule type="iconSet" priority="7" id="{B52BFF2A-45F0-4918-AAD5-C98EDE025B4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K57</xm:sqref>
        </x14:conditionalFormatting>
        <x14:conditionalFormatting xmlns:xm="http://schemas.microsoft.com/office/excel/2006/main">
          <x14:cfRule type="iconSet" priority="48" id="{F50796C2-7544-49BB-873A-85617527391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K63:K94</xm:sqref>
        </x14:conditionalFormatting>
        <x14:conditionalFormatting xmlns:xm="http://schemas.microsoft.com/office/excel/2006/main">
          <x14:cfRule type="iconSet" priority="66" id="{22683FB2-F7E4-4A49-A8DB-8E1E0843C0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K58:K62</xm:sqref>
        </x14:conditionalFormatting>
        <x14:conditionalFormatting xmlns:xm="http://schemas.microsoft.com/office/excel/2006/main">
          <x14:cfRule type="iconSet" priority="129" id="{98B646D3-1B78-4C92-A7D4-83B687FE129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K42:K56</xm:sqref>
        </x14:conditionalFormatting>
        <x14:conditionalFormatting xmlns:xm="http://schemas.microsoft.com/office/excel/2006/main">
          <x14:cfRule type="iconSet" priority="165" id="{129E2CD5-CFD9-4E79-91F8-D5CB8EC23B9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J9:K9 J10:J41</xm:sqref>
        </x14:conditionalFormatting>
        <x14:conditionalFormatting xmlns:xm="http://schemas.microsoft.com/office/excel/2006/main">
          <x14:cfRule type="iconSet" priority="168" id="{9E1F1A05-C302-46D9-9C56-F1D83E01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K10:K41</xm:sqref>
        </x14:conditionalFormatting>
        <x14:conditionalFormatting xmlns:xm="http://schemas.microsoft.com/office/excel/2006/main">
          <x14:cfRule type="iconSet" priority="170" id="{7B395607-B18A-4F6C-8FA6-6A677BC886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J9:J63</xm:sqref>
        </x14:conditionalFormatting>
        <x14:conditionalFormatting xmlns:xm="http://schemas.microsoft.com/office/excel/2006/main">
          <x14:cfRule type="iconSet" priority="172" id="{49ED8110-1769-48B0-A2DA-BEA0C06334A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L9:L63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30"/>
  <sheetViews>
    <sheetView workbookViewId="0">
      <selection activeCell="D34" sqref="D34"/>
    </sheetView>
  </sheetViews>
  <sheetFormatPr defaultColWidth="9.33203125" defaultRowHeight="15" customHeight="1"/>
  <cols>
    <col min="1" max="1" width="2.33203125" style="17" customWidth="1"/>
    <col min="2" max="2" width="30.83203125" style="17" customWidth="1"/>
    <col min="3" max="3" width="1.83203125" style="17" customWidth="1"/>
    <col min="4" max="4" width="30.83203125" style="17" customWidth="1"/>
    <col min="5" max="5" width="1.83203125" style="17" customWidth="1"/>
    <col min="6" max="6" width="30.83203125" style="17" customWidth="1"/>
    <col min="7" max="7" width="1.83203125" style="17" customWidth="1"/>
    <col min="8" max="8" width="30.83203125" style="17" customWidth="1"/>
    <col min="9" max="9" width="1.83203125" style="17" customWidth="1"/>
    <col min="10" max="10" width="16.83203125" style="17" customWidth="1"/>
    <col min="11" max="16384" width="9.33203125" style="17"/>
  </cols>
  <sheetData>
    <row r="1" spans="2:10" ht="32.25" customHeight="1" thickBot="1">
      <c r="B1" s="14" t="s">
        <v>186</v>
      </c>
      <c r="C1" s="15"/>
      <c r="D1" s="15"/>
      <c r="E1" s="15"/>
      <c r="F1" s="15"/>
      <c r="G1" s="15"/>
      <c r="H1" s="15"/>
      <c r="I1" s="15"/>
      <c r="J1" s="15"/>
    </row>
    <row r="2" spans="2:10" ht="8.1" customHeight="1"/>
    <row r="3" spans="2:10" ht="15" customHeight="1">
      <c r="B3" s="27" t="s">
        <v>182</v>
      </c>
      <c r="C3" s="43"/>
      <c r="D3" s="27" t="s">
        <v>183</v>
      </c>
      <c r="E3" s="43"/>
      <c r="F3" s="27" t="s">
        <v>168</v>
      </c>
      <c r="G3" s="43"/>
      <c r="H3" s="27" t="s">
        <v>217</v>
      </c>
      <c r="I3" s="43"/>
    </row>
    <row r="4" spans="2:10" ht="15" customHeight="1">
      <c r="B4" s="11" t="s">
        <v>5</v>
      </c>
      <c r="C4" s="44"/>
      <c r="D4" s="11" t="s">
        <v>37</v>
      </c>
      <c r="E4" s="44"/>
      <c r="F4" s="11" t="s">
        <v>74</v>
      </c>
      <c r="G4" s="44"/>
      <c r="H4" s="11" t="s">
        <v>76</v>
      </c>
      <c r="I4" s="45"/>
    </row>
    <row r="5" spans="2:10" ht="15" customHeight="1">
      <c r="B5" s="11" t="s">
        <v>6</v>
      </c>
      <c r="C5" s="44"/>
      <c r="D5" s="11" t="s">
        <v>38</v>
      </c>
      <c r="E5" s="44"/>
      <c r="F5" s="11" t="s">
        <v>75</v>
      </c>
      <c r="G5" s="44"/>
      <c r="H5" s="11" t="s">
        <v>77</v>
      </c>
      <c r="I5" s="45"/>
    </row>
    <row r="6" spans="2:10" ht="15" customHeight="1">
      <c r="B6" s="11" t="s">
        <v>7</v>
      </c>
      <c r="C6" s="44"/>
      <c r="D6" s="11" t="s">
        <v>39</v>
      </c>
      <c r="E6" s="44"/>
      <c r="F6" s="11" t="s">
        <v>72</v>
      </c>
      <c r="G6" s="44"/>
      <c r="H6" s="11" t="s">
        <v>162</v>
      </c>
      <c r="I6" s="45"/>
    </row>
    <row r="7" spans="2:10" ht="15" customHeight="1">
      <c r="B7" s="11" t="s">
        <v>4</v>
      </c>
      <c r="C7" s="44"/>
      <c r="F7" s="11" t="s">
        <v>73</v>
      </c>
      <c r="G7" s="44"/>
      <c r="H7" s="3" t="s">
        <v>163</v>
      </c>
    </row>
    <row r="8" spans="2:10" ht="15" customHeight="1">
      <c r="B8" s="11" t="s">
        <v>8</v>
      </c>
      <c r="C8" s="44"/>
    </row>
    <row r="11" spans="2:10" ht="15" customHeight="1">
      <c r="B11" s="46"/>
    </row>
    <row r="12" spans="2:10" ht="32.25" customHeight="1" thickBot="1">
      <c r="B12" s="14" t="s">
        <v>187</v>
      </c>
      <c r="C12" s="15"/>
      <c r="D12" s="15"/>
      <c r="E12" s="15"/>
      <c r="F12" s="15"/>
      <c r="G12" s="15"/>
      <c r="H12" s="15"/>
      <c r="I12" s="15"/>
      <c r="J12" s="15"/>
    </row>
    <row r="13" spans="2:10" ht="8.1" customHeight="1"/>
    <row r="14" spans="2:10" ht="15" customHeight="1">
      <c r="B14" s="27" t="s">
        <v>215</v>
      </c>
      <c r="D14" s="27" t="s">
        <v>193</v>
      </c>
    </row>
    <row r="15" spans="2:10" ht="15" customHeight="1">
      <c r="B15" s="11" t="s">
        <v>78</v>
      </c>
      <c r="D15" s="11" t="s">
        <v>77</v>
      </c>
    </row>
    <row r="16" spans="2:10" ht="15" customHeight="1">
      <c r="B16" s="3" t="s">
        <v>110</v>
      </c>
      <c r="D16" s="3" t="s">
        <v>76</v>
      </c>
    </row>
    <row r="17" spans="2:10" ht="15" customHeight="1">
      <c r="B17" s="3" t="s">
        <v>111</v>
      </c>
      <c r="D17" s="3" t="s">
        <v>78</v>
      </c>
    </row>
    <row r="21" spans="2:10" ht="32.25" customHeight="1" thickBot="1">
      <c r="B21" s="14" t="s">
        <v>188</v>
      </c>
      <c r="C21" s="15"/>
      <c r="D21" s="15"/>
      <c r="E21" s="15"/>
      <c r="F21" s="15"/>
      <c r="G21" s="15"/>
      <c r="H21" s="15"/>
      <c r="I21" s="15"/>
      <c r="J21" s="15"/>
    </row>
    <row r="22" spans="2:10" ht="8.1" customHeight="1"/>
    <row r="23" spans="2:10" ht="15" customHeight="1">
      <c r="B23" s="27" t="s">
        <v>218</v>
      </c>
    </row>
    <row r="24" spans="2:10" ht="15" customHeight="1">
      <c r="B24" s="3" t="s">
        <v>29</v>
      </c>
    </row>
    <row r="25" spans="2:10" ht="15" customHeight="1">
      <c r="B25" s="3" t="s">
        <v>26</v>
      </c>
    </row>
    <row r="26" spans="2:10" ht="15" customHeight="1">
      <c r="B26" s="3" t="s">
        <v>2</v>
      </c>
    </row>
    <row r="27" spans="2:10" ht="15" customHeight="1">
      <c r="B27" s="3" t="s">
        <v>164</v>
      </c>
    </row>
    <row r="28" spans="2:10" ht="15" customHeight="1">
      <c r="B28" s="3" t="s">
        <v>146</v>
      </c>
    </row>
    <row r="29" spans="2:10" ht="15" customHeight="1">
      <c r="B29" s="3" t="s">
        <v>120</v>
      </c>
    </row>
    <row r="30" spans="2:10" ht="15" customHeight="1">
      <c r="B30" s="3" t="s">
        <v>28</v>
      </c>
    </row>
  </sheetData>
  <phoneticPr fontId="5" type="noConversion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Project.List</vt:lpstr>
      <vt:lpstr>Team.Status</vt:lpstr>
      <vt:lpstr>Team.List</vt:lpstr>
      <vt:lpstr>Setting</vt:lpstr>
      <vt:lpstr>Level</vt:lpstr>
      <vt:lpstr>Location</vt:lpstr>
      <vt:lpstr>ProjectStatus</vt:lpstr>
      <vt:lpstr>ProjectType</vt:lpstr>
      <vt:lpstr>Status</vt:lpstr>
      <vt:lpstr>StatusType</vt:lpstr>
      <vt:lpstr>TeamLeader</vt:lpstr>
      <vt:lpstr>Tracking.ProjectName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Xi, Jie (external - Project)</dc:creator>
  <cp:lastModifiedBy>Xi, Jie (external - Project)</cp:lastModifiedBy>
  <dcterms:created xsi:type="dcterms:W3CDTF">2016-02-15T07:29:25Z</dcterms:created>
  <dcterms:modified xsi:type="dcterms:W3CDTF">2016-03-04T07:21:09Z</dcterms:modified>
</cp:coreProperties>
</file>